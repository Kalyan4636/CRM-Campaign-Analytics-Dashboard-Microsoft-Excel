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M Dashboard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Analysis" sheetId="3" state="visible" r:id="rId3"/>
    <sheet xmlns:r="http://schemas.openxmlformats.org/officeDocument/2006/relationships" name="Read Me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mmm d, yyyy"/>
    <numFmt numFmtId="166" formatCode="mmm yyyy"/>
    <numFmt numFmtId="167" formatCode="mmm d"/>
  </numFmts>
  <fonts count="15">
    <font>
      <name val="Calibri"/>
      <family val="2"/>
      <color theme="1"/>
      <sz val="11"/>
      <scheme val="minor"/>
    </font>
    <font>
      <b val="1"/>
      <color rgb="00FFFFFF"/>
    </font>
    <font>
      <name val="Aptos Display"/>
      <b val="1"/>
      <color rgb="00FFFFFF"/>
      <sz val="16"/>
    </font>
    <font>
      <name val="Aptos Display"/>
      <b val="1"/>
      <color rgb="00FFFFFF"/>
      <sz val="17"/>
    </font>
    <font>
      <name val="Aptos Display"/>
      <b val="1"/>
      <color rgb="00333333"/>
      <sz val="18"/>
    </font>
    <font>
      <name val="Aptos Display"/>
      <b val="1"/>
      <color rgb="0066717C"/>
      <sz val="10"/>
    </font>
    <font>
      <b val="1"/>
      <color rgb="00333333"/>
      <sz val="11"/>
    </font>
    <font>
      <name val="Aptos Display"/>
      <b val="1"/>
      <color rgb="00333333"/>
      <sz val="24"/>
    </font>
    <font>
      <name val="Aptos Display"/>
      <b val="1"/>
      <color rgb="00333333"/>
      <sz val="13"/>
    </font>
    <font>
      <b val="1"/>
      <color rgb="0066717C"/>
    </font>
    <font>
      <b val="1"/>
      <color rgb="00333333"/>
    </font>
    <font>
      <color rgb="00333333"/>
      <sz val="10"/>
    </font>
    <font>
      <name val="Aptos Display"/>
      <color rgb="00FFFFFF"/>
      <sz val="10"/>
    </font>
    <font>
      <b val="1"/>
      <color rgb="00FFFFFF"/>
      <sz val="18"/>
    </font>
    <font>
      <b val="1"/>
      <color rgb="00333333"/>
      <sz val="12"/>
    </font>
  </fonts>
  <fills count="12">
    <fill>
      <patternFill/>
    </fill>
    <fill>
      <patternFill patternType="gray125"/>
    </fill>
    <fill>
      <patternFill patternType="solid">
        <fgColor rgb="00292929"/>
      </patternFill>
    </fill>
    <fill>
      <patternFill patternType="solid">
        <fgColor rgb="00D5E2EC"/>
      </patternFill>
    </fill>
    <fill>
      <patternFill patternType="solid">
        <fgColor rgb="00FFFFFF"/>
      </patternFill>
    </fill>
    <fill>
      <patternFill patternType="solid">
        <fgColor rgb="00F3F5F7"/>
      </patternFill>
    </fill>
    <fill>
      <patternFill patternType="solid">
        <fgColor rgb="00DCCCE8"/>
      </patternFill>
    </fill>
    <fill>
      <patternFill patternType="solid">
        <fgColor rgb="00C6D9E8"/>
      </patternFill>
    </fill>
    <fill>
      <patternFill patternType="solid">
        <fgColor rgb="00F6D36B"/>
      </patternFill>
    </fill>
    <fill>
      <patternFill patternType="solid">
        <fgColor rgb="0078B69B"/>
      </patternFill>
    </fill>
    <fill>
      <patternFill patternType="solid">
        <fgColor rgb="00D9828B"/>
      </patternFill>
    </fill>
    <fill>
      <patternFill patternType="solid">
        <fgColor rgb="00F7F9FB"/>
      </patternFill>
    </fill>
  </fills>
  <borders count="4">
    <border>
      <left/>
      <right/>
      <top/>
      <bottom/>
      <diagonal/>
    </border>
    <border>
      <bottom style="medium">
        <color rgb="00F6D36B"/>
      </bottom>
    </border>
    <border>
      <right/>
      <bottom style="medium">
        <color rgb="00F6D36B"/>
      </bottom>
    </border>
    <border>
      <left/>
      <right/>
      <top/>
      <bottom style="medium">
        <color rgb="00F6D36B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2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indent="1"/>
    </xf>
    <xf numFmtId="0" fontId="0" fillId="4" borderId="0" pivotButton="0" quotePrefix="0" xfId="0"/>
    <xf numFmtId="0" fontId="5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6" fillId="4" borderId="2" applyAlignment="1" pivotButton="0" quotePrefix="0" xfId="0">
      <alignment horizontal="center" vertical="center"/>
    </xf>
    <xf numFmtId="0" fontId="0" fillId="0" borderId="3" pivotButton="0" quotePrefix="0" xfId="0"/>
    <xf numFmtId="0" fontId="5" fillId="6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5" fillId="7" borderId="0" applyAlignment="1" pivotButton="0" quotePrefix="0" xfId="0">
      <alignment horizontal="left" vertical="center" indent="1"/>
    </xf>
    <xf numFmtId="0" fontId="0" fillId="7" borderId="0" pivotButton="0" quotePrefix="0" xfId="0"/>
    <xf numFmtId="0" fontId="5" fillId="8" borderId="0" applyAlignment="1" pivotButton="0" quotePrefix="0" xfId="0">
      <alignment horizontal="left" vertical="center" indent="1"/>
    </xf>
    <xf numFmtId="0" fontId="0" fillId="8" borderId="0" pivotButton="0" quotePrefix="0" xfId="0"/>
    <xf numFmtId="0" fontId="5" fillId="4" borderId="0" applyAlignment="1" pivotButton="0" quotePrefix="0" xfId="0">
      <alignment horizontal="left" vertical="center" indent="1"/>
    </xf>
    <xf numFmtId="0" fontId="3" fillId="2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 indent="1"/>
    </xf>
    <xf numFmtId="0" fontId="7" fillId="7" borderId="0" applyAlignment="1" pivotButton="0" quotePrefix="0" xfId="0">
      <alignment horizontal="left" vertical="center" indent="1"/>
    </xf>
    <xf numFmtId="0" fontId="7" fillId="8" borderId="0" applyAlignment="1" pivotButton="0" quotePrefix="0" xfId="0">
      <alignment horizontal="left" vertical="center" indent="1"/>
    </xf>
    <xf numFmtId="9" fontId="7" fillId="4" borderId="0" applyAlignment="1" pivotButton="0" quotePrefix="0" xfId="0">
      <alignment horizontal="left" vertical="center" indent="1"/>
    </xf>
    <xf numFmtId="0" fontId="8" fillId="4" borderId="0" applyAlignment="1" pivotButton="0" quotePrefix="0" xfId="0">
      <alignment horizontal="left" vertical="center" indent="1"/>
    </xf>
    <xf numFmtId="0" fontId="9" fillId="5" borderId="0" pivotButton="0" quotePrefix="0" xfId="0"/>
    <xf numFmtId="0" fontId="10" fillId="9" borderId="0" applyAlignment="1" pivotButton="0" quotePrefix="0" xfId="0">
      <alignment vertical="center"/>
    </xf>
    <xf numFmtId="0" fontId="1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167" fontId="11" fillId="4" borderId="0" applyAlignment="1" pivotButton="0" quotePrefix="0" xfId="0">
      <alignment vertical="center"/>
    </xf>
    <xf numFmtId="0" fontId="11" fillId="4" borderId="0" applyAlignment="1" pivotButton="0" quotePrefix="0" xfId="0">
      <alignment vertical="center"/>
    </xf>
    <xf numFmtId="0" fontId="10" fillId="8" borderId="0" applyAlignment="1" pivotButton="0" quotePrefix="0" xfId="0">
      <alignment vertical="center"/>
    </xf>
    <xf numFmtId="0" fontId="10" fillId="10" borderId="0" applyAlignment="1" pivotButton="0" quotePrefix="0" xfId="0">
      <alignment vertical="center"/>
    </xf>
    <xf numFmtId="0" fontId="12" fillId="2" borderId="0" applyAlignment="1" pivotButton="0" quotePrefix="0" xfId="0">
      <alignment horizontal="left" vertical="center" indent="1"/>
    </xf>
    <xf numFmtId="0" fontId="1" fillId="2" borderId="0" applyAlignment="1" pivotButton="0" quotePrefix="0" xfId="0">
      <alignment horizontal="center"/>
    </xf>
    <xf numFmtId="165" fontId="0" fillId="11" borderId="0" applyAlignment="1" pivotButton="0" quotePrefix="0" xfId="0">
      <alignment vertical="center"/>
    </xf>
    <xf numFmtId="0" fontId="0" fillId="11" borderId="0" applyAlignment="1" pivotButton="0" quotePrefix="0" xfId="0">
      <alignment vertical="center"/>
    </xf>
    <xf numFmtId="1" fontId="0" fillId="11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0" fontId="1" fillId="2" borderId="0" pivotButton="0" quotePrefix="0" xfId="0"/>
    <xf numFmtId="166" fontId="0" fillId="0" borderId="0" pivotButton="0" quotePrefix="0" xfId="0"/>
    <xf numFmtId="0" fontId="13" fillId="2" borderId="0" pivotButton="0" quotePrefix="0" xfId="0"/>
    <xf numFmtId="0" fontId="14" fillId="7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78B69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Channel Activity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'Analysis'!B1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'Analysis'!$A$2:$A$11</f>
            </numRef>
          </cat>
          <val>
            <numRef>
              <f>'Analysis'!$B$2:$B$11</f>
            </numRef>
          </val>
        </ser>
        <ser>
          <idx val="1"/>
          <order val="1"/>
          <tx>
            <strRef>
              <f>'Analysis'!C1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'Analysis'!$A$2:$A$11</f>
            </numRef>
          </cat>
          <val>
            <numRef>
              <f>'Analysis'!$C$2:$C$11</f>
            </numRef>
          </val>
        </ser>
        <ser>
          <idx val="2"/>
          <order val="2"/>
          <tx>
            <strRef>
              <f>'Analysis'!D1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'Analysis'!$A$2:$A$11</f>
            </numRef>
          </cat>
          <val>
            <numRef>
              <f>'Analysis'!$D$2:$D$11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Interactions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by Channel</a:t>
            </a:r>
          </a:p>
        </rich>
      </tx>
    </title>
    <plotArea>
      <doughnutChart>
        <varyColors val="1"/>
        <ser>
          <idx val="0"/>
          <order val="0"/>
          <tx>
            <strRef>
              <f>'Analysis'!J1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'Analysis'!$I$2:$I$4</f>
            </numRef>
          </cat>
          <val>
            <numRef>
              <f>'Analysis'!$J$2:$J$4</f>
            </numRef>
          </val>
        </ser>
        <dLbls>
          <showPercent val="1"/>
        </dLbls>
        <firstSliceAng val="0"/>
        <holeSize val="58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10</row>
      <rowOff>0</rowOff>
    </from>
    <ext cx="5580000" cy="26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10</row>
      <rowOff>0</rowOff>
    </from>
    <ext cx="3671999" cy="266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RMData" displayName="CRMData" ref="A1:H251" headerRowCount="1">
  <autoFilter ref="A1:H251"/>
  <tableColumns count="8">
    <tableColumn id="1" name="Date"/>
    <tableColumn id="2" name="Campaign"/>
    <tableColumn id="3" name="Channel"/>
    <tableColumn id="4" name="Caller ID"/>
    <tableColumn id="5" name="Destination"/>
    <tableColumn id="6" name="Status"/>
    <tableColumn id="7" name="Response Time (min)"/>
    <tableColumn id="8" name="Agent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4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 ht="23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23" customHeight="1">
      <c r="A2" s="3" t="inlineStr">
        <is>
          <t>CRM</t>
        </is>
      </c>
      <c r="B2" s="4" t="inlineStr">
        <is>
          <t>CRM CAMPAIGN CONTROL CENTER</t>
        </is>
      </c>
      <c r="C2" s="5" t="n"/>
      <c r="D2" s="5" t="n"/>
      <c r="E2" s="5" t="n"/>
      <c r="F2" s="5" t="n"/>
      <c r="G2" s="5" t="n"/>
      <c r="H2" s="5" t="n"/>
      <c r="I2" s="5" t="n"/>
      <c r="J2" s="6" t="inlineStr">
        <is>
          <t>PERIOD</t>
        </is>
      </c>
      <c r="K2" s="7" t="n"/>
      <c r="L2" s="7" t="n"/>
      <c r="M2" s="6" t="inlineStr">
        <is>
          <t>CHANNEL</t>
        </is>
      </c>
      <c r="N2" s="7" t="n"/>
      <c r="O2" s="7" t="n"/>
      <c r="P2" s="7" t="n"/>
    </row>
    <row r="3" ht="23" customHeight="1">
      <c r="A3" s="1" t="n"/>
      <c r="B3" s="5" t="n"/>
      <c r="C3" s="5" t="n"/>
      <c r="D3" s="5" t="n"/>
      <c r="E3" s="5" t="n"/>
      <c r="F3" s="5" t="n"/>
      <c r="G3" s="5" t="n"/>
      <c r="H3" s="5" t="n"/>
      <c r="I3" s="5" t="n"/>
      <c r="J3" s="7" t="n"/>
      <c r="K3" s="7" t="n"/>
      <c r="L3" s="7" t="n"/>
      <c r="M3" s="7" t="n"/>
      <c r="N3" s="7" t="n"/>
      <c r="O3" s="7" t="n"/>
      <c r="P3" s="7" t="n"/>
    </row>
    <row r="4" ht="23" customHeight="1">
      <c r="A4" s="1" t="n"/>
      <c r="B4" s="2" t="n"/>
      <c r="C4" s="2" t="n"/>
      <c r="D4" s="2" t="n"/>
      <c r="E4" s="2" t="n"/>
      <c r="F4" s="2" t="n"/>
      <c r="G4" s="2" t="n"/>
      <c r="H4" s="2" t="n"/>
      <c r="I4" s="2" t="n"/>
      <c r="J4" s="8" t="inlineStr">
        <is>
          <t>All</t>
        </is>
      </c>
      <c r="K4" s="9" t="n"/>
      <c r="L4" s="9" t="n"/>
      <c r="M4" s="8" t="inlineStr">
        <is>
          <t>All</t>
        </is>
      </c>
      <c r="N4" s="9" t="n"/>
      <c r="O4" s="9" t="n"/>
      <c r="P4" s="9" t="n"/>
    </row>
    <row r="5" ht="23" customHeight="1">
      <c r="A5" s="1" t="n"/>
      <c r="B5" s="10" t="inlineStr">
        <is>
          <t>TOTAL CALLS</t>
        </is>
      </c>
      <c r="C5" s="11" t="n"/>
      <c r="D5" s="11" t="n"/>
      <c r="E5" s="11" t="n"/>
      <c r="F5" s="12" t="inlineStr">
        <is>
          <t>TOTAL SMS</t>
        </is>
      </c>
      <c r="G5" s="13" t="n"/>
      <c r="H5" s="13" t="n"/>
      <c r="I5" s="13" t="n"/>
      <c r="J5" s="14" t="inlineStr">
        <is>
          <t>TOTAL EMAILS</t>
        </is>
      </c>
      <c r="K5" s="15" t="n"/>
      <c r="L5" s="15" t="n"/>
      <c r="M5" s="15" t="n"/>
      <c r="N5" s="16" t="inlineStr">
        <is>
          <t>COMPLETION RATE</t>
        </is>
      </c>
      <c r="O5" s="5" t="n"/>
      <c r="P5" s="5" t="n"/>
    </row>
    <row r="6" ht="23" customHeight="1">
      <c r="A6" s="17" t="inlineStr">
        <is>
          <t>▦</t>
        </is>
      </c>
      <c r="B6" s="18">
        <f>COUNTIFS('Raw Data'!$C$2:$C$251,"Call",'Raw Data'!$A$2:$A$251,"&gt;="&amp;IF($J$4="All",DATE(2026,1,1),DATEVALUE("1 "&amp;$J$4)),'Raw Data'!$A$2:$A$251,"&lt;"&amp;IF($J$4="All",DATE(2026,11,1),EDATE(DATEVALUE("1 "&amp;$J$4),1)))</f>
        <v/>
      </c>
      <c r="F6" s="19">
        <f>COUNTIFS('Raw Data'!$C$2:$C$251,"SMS",'Raw Data'!$A$2:$A$251,"&gt;="&amp;IF($J$4="All",DATE(2026,1,1),DATEVALUE("1 "&amp;$J$4)),'Raw Data'!$A$2:$A$251,"&lt;"&amp;IF($J$4="All",DATE(2026,11,1),EDATE(DATEVALUE("1 "&amp;$J$4),1)))</f>
        <v/>
      </c>
      <c r="J6" s="20">
        <f>COUNTIFS('Raw Data'!$C$2:$C$251,"Email",'Raw Data'!$A$2:$A$251,"&gt;="&amp;IF($J$4="All",DATE(2026,1,1),DATEVALUE("1 "&amp;$J$4)),'Raw Data'!$A$2:$A$251,"&lt;"&amp;IF($J$4="All",DATE(2026,11,1),EDATE(DATEVALUE("1 "&amp;$J$4),1)))</f>
        <v/>
      </c>
      <c r="N6" s="21">
        <f>IFERROR(COUNTIFS('Raw Data'!$F$2:$F$251,"Completed")/COUNTA('Raw Data'!$A$2:$A$251),0)</f>
        <v/>
      </c>
    </row>
    <row r="7" ht="23" customHeight="1">
      <c r="A7" s="1" t="n"/>
    </row>
    <row r="8" ht="23" customHeight="1">
      <c r="A8" s="1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3" customHeight="1">
      <c r="A9" s="1" t="n"/>
      <c r="B9" s="22" t="inlineStr">
        <is>
          <t>CAMPAIGN PERFORMANCE</t>
        </is>
      </c>
      <c r="C9" s="5" t="n"/>
      <c r="D9" s="5" t="n"/>
      <c r="E9" s="5" t="n"/>
      <c r="F9" s="5" t="n"/>
      <c r="G9" s="5" t="n"/>
      <c r="H9" s="5" t="n"/>
      <c r="I9" s="5" t="n"/>
      <c r="J9" s="22" t="inlineStr">
        <is>
          <t>CHANNEL MIX</t>
        </is>
      </c>
      <c r="K9" s="5" t="n"/>
      <c r="L9" s="5" t="n"/>
      <c r="M9" s="5" t="n"/>
      <c r="N9" s="5" t="n"/>
      <c r="O9" s="5" t="n"/>
      <c r="P9" s="5" t="n"/>
    </row>
    <row r="10" ht="23" customHeight="1">
      <c r="A10" s="17" t="inlineStr">
        <is>
          <t>◉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</row>
    <row r="11" ht="23" customHeight="1">
      <c r="A11" s="1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23" customHeight="1">
      <c r="A12" s="1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 ht="23" customHeight="1">
      <c r="A13" s="1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 ht="23" customHeight="1">
      <c r="A14" s="17" t="inlineStr">
        <is>
          <t>▤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 ht="23" customHeight="1">
      <c r="A15" s="1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 ht="23" customHeight="1">
      <c r="A16" s="1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 ht="23" customHeight="1">
      <c r="A17" s="1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 ht="23" customHeight="1">
      <c r="A18" s="17" t="inlineStr">
        <is>
          <t>◷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 ht="23" customHeight="1">
      <c r="A19" s="1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 ht="23" customHeight="1">
      <c r="A20" s="1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 ht="23" customHeight="1">
      <c r="A21" s="1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 ht="23" customHeight="1">
      <c r="A22" s="17" t="inlineStr">
        <is>
          <t>●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 ht="23" customHeight="1">
      <c r="A23" s="1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 ht="23" customHeight="1">
      <c r="A24" s="1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 ht="23" customHeight="1">
      <c r="A25" s="1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 ht="23" customHeight="1">
      <c r="A26" s="17" t="inlineStr">
        <is>
          <t>⚙</t>
        </is>
      </c>
      <c r="B26" s="22" t="inlineStr">
        <is>
          <t>STATUS BREAKDOWN</t>
        </is>
      </c>
      <c r="C26" s="5" t="n"/>
      <c r="D26" s="5" t="n"/>
      <c r="E26" s="5" t="n"/>
      <c r="F26" s="5" t="n"/>
      <c r="G26" s="5" t="n"/>
      <c r="H26" s="5" t="n"/>
      <c r="I26" s="5" t="n"/>
      <c r="J26" s="22" t="inlineStr">
        <is>
          <t>RECENT ACTIVITY</t>
        </is>
      </c>
      <c r="K26" s="5" t="n"/>
      <c r="L26" s="5" t="n"/>
      <c r="M26" s="5" t="n"/>
      <c r="N26" s="5" t="n"/>
      <c r="O26" s="5" t="n"/>
      <c r="P26" s="5" t="n"/>
    </row>
    <row r="27" ht="23" customHeight="1">
      <c r="A27" s="1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</row>
    <row r="28" ht="23" customHeight="1">
      <c r="A28" s="1" t="n"/>
      <c r="B28" s="23" t="inlineStr">
        <is>
          <t>Status</t>
        </is>
      </c>
      <c r="C28" s="23" t="inlineStr">
        <is>
          <t>Count</t>
        </is>
      </c>
      <c r="D28" s="2" t="n"/>
      <c r="E28" s="2" t="n"/>
      <c r="F28" s="2" t="n"/>
      <c r="G28" s="2" t="n"/>
      <c r="H28" s="2" t="n"/>
      <c r="I28" s="2" t="n"/>
      <c r="J28" s="23" t="inlineStr">
        <is>
          <t>Date</t>
        </is>
      </c>
      <c r="K28" s="23" t="inlineStr">
        <is>
          <t>Channel</t>
        </is>
      </c>
      <c r="L28" s="23" t="inlineStr">
        <is>
          <t>Status</t>
        </is>
      </c>
      <c r="M28" s="2" t="n"/>
      <c r="N28" s="2" t="n"/>
      <c r="O28" s="2" t="n"/>
      <c r="P28" s="2" t="n"/>
    </row>
    <row r="29" ht="23" customHeight="1">
      <c r="A29" s="1" t="n"/>
      <c r="B29" s="24" t="inlineStr">
        <is>
          <t>Completed</t>
        </is>
      </c>
      <c r="C29" s="25">
        <f>COUNTIF('Raw Data'!$F$2:$F$251,B29)</f>
        <v/>
      </c>
      <c r="D29" s="26" t="inlineStr">
        <is>
          <t>On track</t>
        </is>
      </c>
      <c r="E29" s="26" t="n"/>
      <c r="F29" s="26" t="n"/>
      <c r="G29" s="26" t="n"/>
      <c r="H29" s="26" t="n"/>
      <c r="I29" s="2" t="n"/>
      <c r="J29" s="27">
        <f>'Raw Data'!A251</f>
        <v/>
      </c>
      <c r="K29" s="28">
        <f>'Raw Data'!C251</f>
        <v/>
      </c>
      <c r="L29" s="28">
        <f>'Raw Data'!F251</f>
        <v/>
      </c>
      <c r="M29" s="28" t="n"/>
      <c r="N29" s="28" t="n"/>
      <c r="O29" s="28" t="n"/>
      <c r="P29" s="2" t="n"/>
    </row>
    <row r="30" ht="23" customHeight="1">
      <c r="A30" s="1" t="n"/>
      <c r="B30" s="29" t="inlineStr">
        <is>
          <t>Pending</t>
        </is>
      </c>
      <c r="C30" s="25">
        <f>COUNTIF('Raw Data'!$F$2:$F$251,B30)</f>
        <v/>
      </c>
      <c r="D30" s="26" t="inlineStr">
        <is>
          <t>Awaiting response</t>
        </is>
      </c>
      <c r="E30" s="26" t="n"/>
      <c r="F30" s="26" t="n"/>
      <c r="G30" s="26" t="n"/>
      <c r="H30" s="26" t="n"/>
      <c r="I30" s="2" t="n"/>
      <c r="J30" s="27">
        <f>'Raw Data'!A250</f>
        <v/>
      </c>
      <c r="K30" s="28">
        <f>'Raw Data'!C250</f>
        <v/>
      </c>
      <c r="L30" s="28">
        <f>'Raw Data'!F250</f>
        <v/>
      </c>
      <c r="M30" s="28" t="n"/>
      <c r="N30" s="28" t="n"/>
      <c r="O30" s="28" t="n"/>
      <c r="P30" s="2" t="n"/>
    </row>
    <row r="31" ht="23" customHeight="1">
      <c r="A31" s="1" t="n"/>
      <c r="B31" s="30" t="inlineStr">
        <is>
          <t>Failed</t>
        </is>
      </c>
      <c r="C31" s="25">
        <f>COUNTIF('Raw Data'!$F$2:$F$251,B31)</f>
        <v/>
      </c>
      <c r="D31" s="26" t="inlineStr">
        <is>
          <t>Needs attention</t>
        </is>
      </c>
      <c r="E31" s="26" t="n"/>
      <c r="F31" s="26" t="n"/>
      <c r="G31" s="26" t="n"/>
      <c r="H31" s="26" t="n"/>
      <c r="I31" s="2" t="n"/>
      <c r="J31" s="27">
        <f>'Raw Data'!A249</f>
        <v/>
      </c>
      <c r="K31" s="28">
        <f>'Raw Data'!C249</f>
        <v/>
      </c>
      <c r="L31" s="28">
        <f>'Raw Data'!F249</f>
        <v/>
      </c>
      <c r="M31" s="28" t="n"/>
      <c r="N31" s="28" t="n"/>
      <c r="O31" s="28" t="n"/>
      <c r="P31" s="2" t="n"/>
    </row>
    <row r="32" ht="23" customHeight="1">
      <c r="A32" s="1" t="n"/>
      <c r="B32" s="2" t="n"/>
      <c r="C32" s="2" t="n"/>
      <c r="D32" s="2" t="n"/>
      <c r="E32" s="2" t="n"/>
      <c r="F32" s="2" t="n"/>
      <c r="G32" s="2" t="n"/>
      <c r="H32" s="2" t="n"/>
      <c r="I32" s="2" t="n"/>
      <c r="J32" s="27">
        <f>'Raw Data'!A248</f>
        <v/>
      </c>
      <c r="K32" s="28">
        <f>'Raw Data'!C248</f>
        <v/>
      </c>
      <c r="L32" s="28">
        <f>'Raw Data'!F248</f>
        <v/>
      </c>
      <c r="M32" s="28" t="n"/>
      <c r="N32" s="28" t="n"/>
      <c r="O32" s="28" t="n"/>
      <c r="P32" s="2" t="n"/>
    </row>
    <row r="33" ht="23" customHeight="1">
      <c r="A33" s="1" t="n"/>
      <c r="B33" s="2" t="n"/>
      <c r="C33" s="2" t="n"/>
      <c r="D33" s="2" t="n"/>
      <c r="E33" s="2" t="n"/>
      <c r="F33" s="2" t="n"/>
      <c r="G33" s="2" t="n"/>
      <c r="H33" s="2" t="n"/>
      <c r="I33" s="2" t="n"/>
      <c r="J33" s="27">
        <f>'Raw Data'!A247</f>
        <v/>
      </c>
      <c r="K33" s="28">
        <f>'Raw Data'!C247</f>
        <v/>
      </c>
      <c r="L33" s="28">
        <f>'Raw Data'!F247</f>
        <v/>
      </c>
      <c r="M33" s="28" t="n"/>
      <c r="N33" s="28" t="n"/>
      <c r="O33" s="28" t="n"/>
      <c r="P33" s="2" t="n"/>
    </row>
    <row r="34" ht="23" customHeight="1">
      <c r="A34" s="1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 ht="23" customHeight="1">
      <c r="A35" s="1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 ht="23" customHeight="1">
      <c r="A36" s="1" t="n"/>
      <c r="B36" s="31" t="inlineStr">
        <is>
          <t>SAMPLE CRM DATA • Use the dropdowns above to explore the dashboard. Replace the Raw Data sheet with your own records to customize it.</t>
        </is>
      </c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</row>
    <row r="37" ht="23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</row>
    <row r="38" ht="23" customHeight="1">
      <c r="A38" s="1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 ht="23" customHeight="1">
      <c r="A39" s="1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 ht="23" customHeight="1">
      <c r="A40" s="1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 ht="23" customHeight="1">
      <c r="A41" s="1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1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</sheetData>
  <mergeCells count="33">
    <mergeCell ref="F6:I7"/>
    <mergeCell ref="N6:P7"/>
    <mergeCell ref="L31:O31"/>
    <mergeCell ref="J2:L3"/>
    <mergeCell ref="N5:P5"/>
    <mergeCell ref="J9:P10"/>
    <mergeCell ref="J4:L4"/>
    <mergeCell ref="B5:E5"/>
    <mergeCell ref="A6:A7"/>
    <mergeCell ref="M2:P3"/>
    <mergeCell ref="J6:M7"/>
    <mergeCell ref="D31:H31"/>
    <mergeCell ref="B9:I10"/>
    <mergeCell ref="M4:P4"/>
    <mergeCell ref="A26:A27"/>
    <mergeCell ref="A2:A3"/>
    <mergeCell ref="L32:O32"/>
    <mergeCell ref="J5:M5"/>
    <mergeCell ref="A18:A19"/>
    <mergeCell ref="A14:A15"/>
    <mergeCell ref="B6:E7"/>
    <mergeCell ref="J26:P27"/>
    <mergeCell ref="A22:A23"/>
    <mergeCell ref="B26:I27"/>
    <mergeCell ref="F5:I5"/>
    <mergeCell ref="A10:A11"/>
    <mergeCell ref="L33:O33"/>
    <mergeCell ref="D30:H30"/>
    <mergeCell ref="L30:O30"/>
    <mergeCell ref="B2:I3"/>
    <mergeCell ref="D29:H29"/>
    <mergeCell ref="L29:O29"/>
    <mergeCell ref="B36:P37"/>
  </mergeCells>
  <conditionalFormatting sqref="C29:C31">
    <cfRule type="cellIs" priority="1" operator="greaterThan" dxfId="0">
      <formula>0</formula>
    </cfRule>
  </conditionalFormatting>
  <dataValidations count="2">
    <dataValidation sqref="J4" showDropDown="0" showInputMessage="0" showErrorMessage="0" allowBlank="0" type="list">
      <formula1>"All,Jan 2026,Feb 2026,Mar 2026,Apr 2026,May 2026,Jun 2026,Jul 2026,Aug 2026,Sep 2026,Oct 2026"</formula1>
    </dataValidation>
    <dataValidation sqref="M4" showDropDown="0" showInputMessage="0" showErrorMessage="0" allowBlank="0" type="list">
      <formula1>"All,Call,SMS,Email"</formula1>
    </dataValidation>
  </dataValidations>
  <pageMargins left="0.75" right="0.75" top="1" bottom="1" header="0.5" footer="0.5"/>
  <pageSetup orientation="landscape" paperSize="8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14" customWidth="1" min="3" max="3"/>
    <col width="22" customWidth="1" min="4" max="4"/>
    <col width="23" customWidth="1" min="5" max="5"/>
    <col width="16" customWidth="1" min="6" max="6"/>
    <col width="22" customWidth="1" min="7" max="7"/>
    <col width="22" customWidth="1" min="8" max="8"/>
  </cols>
  <sheetData>
    <row r="1">
      <c r="A1" s="32" t="inlineStr">
        <is>
          <t>Date</t>
        </is>
      </c>
      <c r="B1" s="32" t="inlineStr">
        <is>
          <t>Campaign</t>
        </is>
      </c>
      <c r="C1" s="32" t="inlineStr">
        <is>
          <t>Channel</t>
        </is>
      </c>
      <c r="D1" s="32" t="inlineStr">
        <is>
          <t>Caller ID</t>
        </is>
      </c>
      <c r="E1" s="32" t="inlineStr">
        <is>
          <t>Destination</t>
        </is>
      </c>
      <c r="F1" s="32" t="inlineStr">
        <is>
          <t>Status</t>
        </is>
      </c>
      <c r="G1" s="32" t="inlineStr">
        <is>
          <t>Response Time (min)</t>
        </is>
      </c>
      <c r="H1" s="32" t="inlineStr">
        <is>
          <t>Agent</t>
        </is>
      </c>
    </row>
    <row r="2">
      <c r="A2" s="33" t="n">
        <v>46290.61875</v>
      </c>
      <c r="B2" s="34" t="inlineStr">
        <is>
          <t>Win-back Campaign</t>
        </is>
      </c>
      <c r="C2" s="34" t="inlineStr">
        <is>
          <t>SMS</t>
        </is>
      </c>
      <c r="D2" s="34" t="inlineStr">
        <is>
          <t>client@example.com</t>
        </is>
      </c>
      <c r="E2" s="34" t="inlineStr">
        <is>
          <t>team@example.com</t>
        </is>
      </c>
      <c r="F2" s="34" t="inlineStr">
        <is>
          <t>Completed</t>
        </is>
      </c>
      <c r="G2" s="35" t="n">
        <v>12</v>
      </c>
      <c r="H2" s="34" t="inlineStr">
        <is>
          <t>Taylor Morgan</t>
        </is>
      </c>
    </row>
    <row r="3">
      <c r="A3" s="36" t="n">
        <v>46079.34375</v>
      </c>
      <c r="B3" s="37" t="inlineStr">
        <is>
          <t>Renewal Reminder</t>
        </is>
      </c>
      <c r="C3" s="37" t="inlineStr">
        <is>
          <t>SMS</t>
        </is>
      </c>
      <c r="D3" s="37" t="inlineStr">
        <is>
          <t>+1 555 2310</t>
        </is>
      </c>
      <c r="E3" s="37" t="inlineStr">
        <is>
          <t>client@example.com</t>
        </is>
      </c>
      <c r="F3" s="37" t="inlineStr">
        <is>
          <t>Pending</t>
        </is>
      </c>
      <c r="G3" s="38" t="n">
        <v>42</v>
      </c>
      <c r="H3" s="37" t="inlineStr">
        <is>
          <t>Jordan Lee</t>
        </is>
      </c>
    </row>
    <row r="4">
      <c r="A4" s="33" t="n">
        <v>46305.33888888889</v>
      </c>
      <c r="B4" s="34" t="inlineStr">
        <is>
          <t>Win-back Campaign</t>
        </is>
      </c>
      <c r="C4" s="34" t="inlineStr">
        <is>
          <t>Email</t>
        </is>
      </c>
      <c r="D4" s="34" t="inlineStr">
        <is>
          <t>alex@example.com</t>
        </is>
      </c>
      <c r="E4" s="34" t="inlineStr">
        <is>
          <t>team@example.com</t>
        </is>
      </c>
      <c r="F4" s="34" t="inlineStr">
        <is>
          <t>Pending</t>
        </is>
      </c>
      <c r="G4" s="35" t="n">
        <v>29</v>
      </c>
      <c r="H4" s="34" t="inlineStr">
        <is>
          <t>Jordan Lee</t>
        </is>
      </c>
    </row>
    <row r="5">
      <c r="A5" s="36" t="n">
        <v>46192.67152777778</v>
      </c>
      <c r="B5" s="37" t="inlineStr">
        <is>
          <t>Customer Survey</t>
        </is>
      </c>
      <c r="C5" s="37" t="inlineStr">
        <is>
          <t>Email</t>
        </is>
      </c>
      <c r="D5" s="37" t="inlineStr">
        <is>
          <t>+1 555 0531</t>
        </is>
      </c>
      <c r="E5" s="37" t="inlineStr">
        <is>
          <t>team@example.com</t>
        </is>
      </c>
      <c r="F5" s="37" t="inlineStr">
        <is>
          <t>Completed</t>
        </is>
      </c>
      <c r="G5" s="38" t="n">
        <v>20</v>
      </c>
      <c r="H5" s="37" t="inlineStr">
        <is>
          <t>Casey Patel</t>
        </is>
      </c>
    </row>
    <row r="6">
      <c r="A6" s="33" t="n">
        <v>46095.78541666667</v>
      </c>
      <c r="B6" s="34" t="inlineStr">
        <is>
          <t>Welcome Series</t>
        </is>
      </c>
      <c r="C6" s="34" t="inlineStr">
        <is>
          <t>SMS</t>
        </is>
      </c>
      <c r="D6" s="34" t="inlineStr">
        <is>
          <t>+1 555 7642</t>
        </is>
      </c>
      <c r="E6" s="34" t="inlineStr">
        <is>
          <t>+1 555 3492</t>
        </is>
      </c>
      <c r="F6" s="34" t="inlineStr">
        <is>
          <t>Completed</t>
        </is>
      </c>
      <c r="G6" s="35" t="n">
        <v>22</v>
      </c>
      <c r="H6" s="34" t="inlineStr">
        <is>
          <t>Riley Chen</t>
        </is>
      </c>
    </row>
    <row r="7">
      <c r="A7" s="36" t="n">
        <v>46049.54375</v>
      </c>
      <c r="B7" s="37" t="inlineStr">
        <is>
          <t>Customer Survey</t>
        </is>
      </c>
      <c r="C7" s="37" t="inlineStr">
        <is>
          <t>Email</t>
        </is>
      </c>
      <c r="D7" s="37" t="inlineStr">
        <is>
          <t>+1 555 1359</t>
        </is>
      </c>
      <c r="E7" s="37" t="inlineStr">
        <is>
          <t>+1 555 2409</t>
        </is>
      </c>
      <c r="F7" s="37" t="inlineStr">
        <is>
          <t>Completed</t>
        </is>
      </c>
      <c r="G7" s="38" t="n">
        <v>1</v>
      </c>
      <c r="H7" s="37" t="inlineStr">
        <is>
          <t>Riley Chen</t>
        </is>
      </c>
    </row>
    <row r="8">
      <c r="A8" s="33" t="n">
        <v>46132.48125</v>
      </c>
      <c r="B8" s="34" t="inlineStr">
        <is>
          <t>Newsletter</t>
        </is>
      </c>
      <c r="C8" s="34" t="inlineStr">
        <is>
          <t>Email</t>
        </is>
      </c>
      <c r="D8" s="34" t="inlineStr">
        <is>
          <t>+1 555 1359</t>
        </is>
      </c>
      <c r="E8" s="34" t="inlineStr">
        <is>
          <t>team@example.com</t>
        </is>
      </c>
      <c r="F8" s="34" t="inlineStr">
        <is>
          <t>Completed</t>
        </is>
      </c>
      <c r="G8" s="35" t="n">
        <v>5</v>
      </c>
      <c r="H8" s="34" t="inlineStr">
        <is>
          <t>Riley Chen</t>
        </is>
      </c>
    </row>
    <row r="9">
      <c r="A9" s="36" t="n">
        <v>46295.70625</v>
      </c>
      <c r="B9" s="37" t="inlineStr">
        <is>
          <t>Newsletter</t>
        </is>
      </c>
      <c r="C9" s="37" t="inlineStr">
        <is>
          <t>Call</t>
        </is>
      </c>
      <c r="D9" s="37" t="inlineStr">
        <is>
          <t>+1 555 1359</t>
        </is>
      </c>
      <c r="E9" s="37" t="inlineStr">
        <is>
          <t>+1 555 3492</t>
        </is>
      </c>
      <c r="F9" s="37" t="inlineStr">
        <is>
          <t>Completed</t>
        </is>
      </c>
      <c r="G9" s="38" t="n">
        <v>23</v>
      </c>
      <c r="H9" s="37" t="inlineStr">
        <is>
          <t>Alexandra Rose</t>
        </is>
      </c>
    </row>
    <row r="10">
      <c r="A10" s="33" t="n">
        <v>46162.54166666666</v>
      </c>
      <c r="B10" s="34" t="inlineStr">
        <is>
          <t>Welcome Series</t>
        </is>
      </c>
      <c r="C10" s="34" t="inlineStr">
        <is>
          <t>Call</t>
        </is>
      </c>
      <c r="D10" s="34" t="inlineStr">
        <is>
          <t>+1 555 7642</t>
        </is>
      </c>
      <c r="E10" s="34" t="inlineStr">
        <is>
          <t>+1 555 3492</t>
        </is>
      </c>
      <c r="F10" s="34" t="inlineStr">
        <is>
          <t>Failed</t>
        </is>
      </c>
      <c r="G10" s="35" t="n"/>
      <c r="H10" s="34" t="inlineStr">
        <is>
          <t>Casey Patel</t>
        </is>
      </c>
    </row>
    <row r="11">
      <c r="A11" s="36" t="n">
        <v>46050.47152777778</v>
      </c>
      <c r="B11" s="37" t="inlineStr">
        <is>
          <t>Customer Survey</t>
        </is>
      </c>
      <c r="C11" s="37" t="inlineStr">
        <is>
          <t>Call</t>
        </is>
      </c>
      <c r="D11" s="37" t="inlineStr">
        <is>
          <t>+1 555 0531</t>
        </is>
      </c>
      <c r="E11" s="37" t="inlineStr">
        <is>
          <t>team@example.com</t>
        </is>
      </c>
      <c r="F11" s="37" t="inlineStr">
        <is>
          <t>Pending</t>
        </is>
      </c>
      <c r="G11" s="38" t="n">
        <v>101</v>
      </c>
      <c r="H11" s="37" t="inlineStr">
        <is>
          <t>Riley Chen</t>
        </is>
      </c>
    </row>
    <row r="12">
      <c r="A12" s="33" t="n">
        <v>46291.75555555556</v>
      </c>
      <c r="B12" s="34" t="inlineStr">
        <is>
          <t>Customer Survey</t>
        </is>
      </c>
      <c r="C12" s="34" t="inlineStr">
        <is>
          <t>SMS</t>
        </is>
      </c>
      <c r="D12" s="34" t="inlineStr">
        <is>
          <t>+1 555 1359</t>
        </is>
      </c>
      <c r="E12" s="34" t="inlineStr">
        <is>
          <t>+1 555 5630</t>
        </is>
      </c>
      <c r="F12" s="34" t="inlineStr">
        <is>
          <t>Pending</t>
        </is>
      </c>
      <c r="G12" s="35" t="n">
        <v>85</v>
      </c>
      <c r="H12" s="34" t="inlineStr">
        <is>
          <t>Taylor Morgan</t>
        </is>
      </c>
    </row>
    <row r="13">
      <c r="A13" s="36" t="n">
        <v>46100.75486111111</v>
      </c>
      <c r="B13" s="37" t="inlineStr">
        <is>
          <t>Newsletter</t>
        </is>
      </c>
      <c r="C13" s="37" t="inlineStr">
        <is>
          <t>Email</t>
        </is>
      </c>
      <c r="D13" s="37" t="inlineStr">
        <is>
          <t>+1 555 2310</t>
        </is>
      </c>
      <c r="E13" s="37" t="inlineStr">
        <is>
          <t>+1 555 3492</t>
        </is>
      </c>
      <c r="F13" s="37" t="inlineStr">
        <is>
          <t>Completed</t>
        </is>
      </c>
      <c r="G13" s="38" t="n">
        <v>35</v>
      </c>
      <c r="H13" s="37" t="inlineStr">
        <is>
          <t>Alexandra Rose</t>
        </is>
      </c>
    </row>
    <row r="14">
      <c r="A14" s="33" t="n">
        <v>46105.58680555555</v>
      </c>
      <c r="B14" s="34" t="inlineStr">
        <is>
          <t>Win-back Campaign</t>
        </is>
      </c>
      <c r="C14" s="34" t="inlineStr">
        <is>
          <t>Email</t>
        </is>
      </c>
      <c r="D14" s="34" t="inlineStr">
        <is>
          <t>+1 555 7642</t>
        </is>
      </c>
      <c r="E14" s="34" t="inlineStr">
        <is>
          <t>client@example.com</t>
        </is>
      </c>
      <c r="F14" s="34" t="inlineStr">
        <is>
          <t>Completed</t>
        </is>
      </c>
      <c r="G14" s="35" t="n">
        <v>17</v>
      </c>
      <c r="H14" s="34" t="inlineStr">
        <is>
          <t>Alexandra Rose</t>
        </is>
      </c>
    </row>
    <row r="15">
      <c r="A15" s="36" t="n">
        <v>46300.39861111111</v>
      </c>
      <c r="B15" s="37" t="inlineStr">
        <is>
          <t>Newsletter</t>
        </is>
      </c>
      <c r="C15" s="37" t="inlineStr">
        <is>
          <t>Email</t>
        </is>
      </c>
      <c r="D15" s="37" t="inlineStr">
        <is>
          <t>alex@example.com</t>
        </is>
      </c>
      <c r="E15" s="37" t="inlineStr">
        <is>
          <t>+1 555 5630</t>
        </is>
      </c>
      <c r="F15" s="37" t="inlineStr">
        <is>
          <t>Completed</t>
        </is>
      </c>
      <c r="G15" s="38" t="n">
        <v>35</v>
      </c>
      <c r="H15" s="37" t="inlineStr">
        <is>
          <t>Taylor Morgan</t>
        </is>
      </c>
    </row>
    <row r="16">
      <c r="A16" s="33" t="n">
        <v>46048.65069444444</v>
      </c>
      <c r="B16" s="34" t="inlineStr">
        <is>
          <t>Customer Survey</t>
        </is>
      </c>
      <c r="C16" s="34" t="inlineStr">
        <is>
          <t>SMS</t>
        </is>
      </c>
      <c r="D16" s="34" t="inlineStr">
        <is>
          <t>alex@example.com</t>
        </is>
      </c>
      <c r="E16" s="34" t="inlineStr">
        <is>
          <t>client@example.com</t>
        </is>
      </c>
      <c r="F16" s="34" t="inlineStr">
        <is>
          <t>Completed</t>
        </is>
      </c>
      <c r="G16" s="35" t="n">
        <v>36</v>
      </c>
      <c r="H16" s="34" t="inlineStr">
        <is>
          <t>Alexandra Rose</t>
        </is>
      </c>
    </row>
    <row r="17">
      <c r="A17" s="36" t="n">
        <v>46258.46805555555</v>
      </c>
      <c r="B17" s="37" t="inlineStr">
        <is>
          <t>Renewal Reminder</t>
        </is>
      </c>
      <c r="C17" s="37" t="inlineStr">
        <is>
          <t>SMS</t>
        </is>
      </c>
      <c r="D17" s="37" t="inlineStr">
        <is>
          <t>+1 555 0531</t>
        </is>
      </c>
      <c r="E17" s="37" t="inlineStr">
        <is>
          <t>team@example.com</t>
        </is>
      </c>
      <c r="F17" s="37" t="inlineStr">
        <is>
          <t>Pending</t>
        </is>
      </c>
      <c r="G17" s="38" t="n">
        <v>56</v>
      </c>
      <c r="H17" s="37" t="inlineStr">
        <is>
          <t>Riley Chen</t>
        </is>
      </c>
    </row>
    <row r="18">
      <c r="A18" s="33" t="n">
        <v>46288.58541666667</v>
      </c>
      <c r="B18" s="34" t="inlineStr">
        <is>
          <t>Product Launch</t>
        </is>
      </c>
      <c r="C18" s="34" t="inlineStr">
        <is>
          <t>Email</t>
        </is>
      </c>
      <c r="D18" s="34" t="inlineStr">
        <is>
          <t>alex@example.com</t>
        </is>
      </c>
      <c r="E18" s="34" t="inlineStr">
        <is>
          <t>+1 555 5630</t>
        </is>
      </c>
      <c r="F18" s="34" t="inlineStr">
        <is>
          <t>Completed</t>
        </is>
      </c>
      <c r="G18" s="35" t="n">
        <v>38</v>
      </c>
      <c r="H18" s="34" t="inlineStr">
        <is>
          <t>Riley Chen</t>
        </is>
      </c>
    </row>
    <row r="19">
      <c r="A19" s="36" t="n">
        <v>46183.54930555556</v>
      </c>
      <c r="B19" s="37" t="inlineStr">
        <is>
          <t>Customer Survey</t>
        </is>
      </c>
      <c r="C19" s="37" t="inlineStr">
        <is>
          <t>Email</t>
        </is>
      </c>
      <c r="D19" s="37" t="inlineStr">
        <is>
          <t>+1 555 2310</t>
        </is>
      </c>
      <c r="E19" s="37" t="inlineStr">
        <is>
          <t>client@example.com</t>
        </is>
      </c>
      <c r="F19" s="37" t="inlineStr">
        <is>
          <t>Pending</t>
        </is>
      </c>
      <c r="G19" s="38" t="n">
        <v>48</v>
      </c>
      <c r="H19" s="37" t="inlineStr">
        <is>
          <t>Riley Chen</t>
        </is>
      </c>
    </row>
    <row r="20">
      <c r="A20" s="33" t="n">
        <v>46070.67083333333</v>
      </c>
      <c r="B20" s="34" t="inlineStr">
        <is>
          <t>Win-back Campaign</t>
        </is>
      </c>
      <c r="C20" s="34" t="inlineStr">
        <is>
          <t>SMS</t>
        </is>
      </c>
      <c r="D20" s="34" t="inlineStr">
        <is>
          <t>alex@example.com</t>
        </is>
      </c>
      <c r="E20" s="34" t="inlineStr">
        <is>
          <t>+1 555 5630</t>
        </is>
      </c>
      <c r="F20" s="34" t="inlineStr">
        <is>
          <t>Completed</t>
        </is>
      </c>
      <c r="G20" s="35" t="n">
        <v>37</v>
      </c>
      <c r="H20" s="34" t="inlineStr">
        <is>
          <t>Casey Patel</t>
        </is>
      </c>
    </row>
    <row r="21">
      <c r="A21" s="36" t="n">
        <v>46260.6625</v>
      </c>
      <c r="B21" s="37" t="inlineStr">
        <is>
          <t>Customer Survey</t>
        </is>
      </c>
      <c r="C21" s="37" t="inlineStr">
        <is>
          <t>SMS</t>
        </is>
      </c>
      <c r="D21" s="37" t="inlineStr">
        <is>
          <t>+1 555 0531</t>
        </is>
      </c>
      <c r="E21" s="37" t="inlineStr">
        <is>
          <t>+1 555 3492</t>
        </is>
      </c>
      <c r="F21" s="37" t="inlineStr">
        <is>
          <t>Completed</t>
        </is>
      </c>
      <c r="G21" s="38" t="n">
        <v>31</v>
      </c>
      <c r="H21" s="37" t="inlineStr">
        <is>
          <t>Taylor Morgan</t>
        </is>
      </c>
    </row>
    <row r="22">
      <c r="A22" s="33" t="n">
        <v>46117.36944444444</v>
      </c>
      <c r="B22" s="34" t="inlineStr">
        <is>
          <t>Product Launch</t>
        </is>
      </c>
      <c r="C22" s="34" t="inlineStr">
        <is>
          <t>Email</t>
        </is>
      </c>
      <c r="D22" s="34" t="inlineStr">
        <is>
          <t>+1 555 0531</t>
        </is>
      </c>
      <c r="E22" s="34" t="inlineStr">
        <is>
          <t>+1 555 3492</t>
        </is>
      </c>
      <c r="F22" s="34" t="inlineStr">
        <is>
          <t>Completed</t>
        </is>
      </c>
      <c r="G22" s="35" t="n">
        <v>22</v>
      </c>
      <c r="H22" s="34" t="inlineStr">
        <is>
          <t>Alexandra Rose</t>
        </is>
      </c>
    </row>
    <row r="23">
      <c r="A23" s="36" t="n">
        <v>46288.78055555555</v>
      </c>
      <c r="B23" s="37" t="inlineStr">
        <is>
          <t>Renewal Reminder</t>
        </is>
      </c>
      <c r="C23" s="37" t="inlineStr">
        <is>
          <t>Call</t>
        </is>
      </c>
      <c r="D23" s="37" t="inlineStr">
        <is>
          <t>+1 555 1359</t>
        </is>
      </c>
      <c r="E23" s="37" t="inlineStr">
        <is>
          <t>+1 555 2409</t>
        </is>
      </c>
      <c r="F23" s="37" t="inlineStr">
        <is>
          <t>Completed</t>
        </is>
      </c>
      <c r="G23" s="38" t="n">
        <v>20</v>
      </c>
      <c r="H23" s="37" t="inlineStr">
        <is>
          <t>Alexandra Rose</t>
        </is>
      </c>
    </row>
    <row r="24">
      <c r="A24" s="33" t="n">
        <v>46256.70277777778</v>
      </c>
      <c r="B24" s="34" t="inlineStr">
        <is>
          <t>Welcome Series</t>
        </is>
      </c>
      <c r="C24" s="34" t="inlineStr">
        <is>
          <t>Email</t>
        </is>
      </c>
      <c r="D24" s="34" t="inlineStr">
        <is>
          <t>+1 555 7642</t>
        </is>
      </c>
      <c r="E24" s="34" t="inlineStr">
        <is>
          <t>+1 555 2409</t>
        </is>
      </c>
      <c r="F24" s="34" t="inlineStr">
        <is>
          <t>Completed</t>
        </is>
      </c>
      <c r="G24" s="35" t="n">
        <v>42</v>
      </c>
      <c r="H24" s="34" t="inlineStr">
        <is>
          <t>Casey Patel</t>
        </is>
      </c>
    </row>
    <row r="25">
      <c r="A25" s="36" t="n">
        <v>46052.66875</v>
      </c>
      <c r="B25" s="37" t="inlineStr">
        <is>
          <t>Newsletter</t>
        </is>
      </c>
      <c r="C25" s="37" t="inlineStr">
        <is>
          <t>Call</t>
        </is>
      </c>
      <c r="D25" s="37" t="inlineStr">
        <is>
          <t>+1 555 2310</t>
        </is>
      </c>
      <c r="E25" s="37" t="inlineStr">
        <is>
          <t>team@example.com</t>
        </is>
      </c>
      <c r="F25" s="37" t="inlineStr">
        <is>
          <t>Completed</t>
        </is>
      </c>
      <c r="G25" s="38" t="n">
        <v>18</v>
      </c>
      <c r="H25" s="37" t="inlineStr">
        <is>
          <t>Riley Chen</t>
        </is>
      </c>
    </row>
    <row r="26">
      <c r="A26" s="33" t="n">
        <v>46236.62361111111</v>
      </c>
      <c r="B26" s="34" t="inlineStr">
        <is>
          <t>Welcome Series</t>
        </is>
      </c>
      <c r="C26" s="34" t="inlineStr">
        <is>
          <t>Call</t>
        </is>
      </c>
      <c r="D26" s="34" t="inlineStr">
        <is>
          <t>client@example.com</t>
        </is>
      </c>
      <c r="E26" s="34" t="inlineStr">
        <is>
          <t>+1 555 2409</t>
        </is>
      </c>
      <c r="F26" s="34" t="inlineStr">
        <is>
          <t>Pending</t>
        </is>
      </c>
      <c r="G26" s="35" t="n">
        <v>53</v>
      </c>
      <c r="H26" s="34" t="inlineStr">
        <is>
          <t>Taylor Morgan</t>
        </is>
      </c>
    </row>
    <row r="27">
      <c r="A27" s="36" t="n">
        <v>46189.54652777778</v>
      </c>
      <c r="B27" s="37" t="inlineStr">
        <is>
          <t>Customer Survey</t>
        </is>
      </c>
      <c r="C27" s="37" t="inlineStr">
        <is>
          <t>SMS</t>
        </is>
      </c>
      <c r="D27" s="37" t="inlineStr">
        <is>
          <t>+1 555 2310</t>
        </is>
      </c>
      <c r="E27" s="37" t="inlineStr">
        <is>
          <t>client@example.com</t>
        </is>
      </c>
      <c r="F27" s="37" t="inlineStr">
        <is>
          <t>Completed</t>
        </is>
      </c>
      <c r="G27" s="38" t="n">
        <v>16</v>
      </c>
      <c r="H27" s="37" t="inlineStr">
        <is>
          <t>Alexandra Rose</t>
        </is>
      </c>
    </row>
    <row r="28">
      <c r="A28" s="33" t="n">
        <v>46153.46111111111</v>
      </c>
      <c r="B28" s="34" t="inlineStr">
        <is>
          <t>Customer Survey</t>
        </is>
      </c>
      <c r="C28" s="34" t="inlineStr">
        <is>
          <t>Email</t>
        </is>
      </c>
      <c r="D28" s="34" t="inlineStr">
        <is>
          <t>+1 555 2310</t>
        </is>
      </c>
      <c r="E28" s="34" t="inlineStr">
        <is>
          <t>+1 555 5630</t>
        </is>
      </c>
      <c r="F28" s="34" t="inlineStr">
        <is>
          <t>Completed</t>
        </is>
      </c>
      <c r="G28" s="35" t="n">
        <v>13</v>
      </c>
      <c r="H28" s="34" t="inlineStr">
        <is>
          <t>Jordan Lee</t>
        </is>
      </c>
    </row>
    <row r="29">
      <c r="A29" s="36" t="n">
        <v>46281.71458333333</v>
      </c>
      <c r="B29" s="37" t="inlineStr">
        <is>
          <t>Renewal Reminder</t>
        </is>
      </c>
      <c r="C29" s="37" t="inlineStr">
        <is>
          <t>Email</t>
        </is>
      </c>
      <c r="D29" s="37" t="inlineStr">
        <is>
          <t>+1 555 7642</t>
        </is>
      </c>
      <c r="E29" s="37" t="inlineStr">
        <is>
          <t>team@example.com</t>
        </is>
      </c>
      <c r="F29" s="37" t="inlineStr">
        <is>
          <t>Completed</t>
        </is>
      </c>
      <c r="G29" s="38" t="n">
        <v>29</v>
      </c>
      <c r="H29" s="37" t="inlineStr">
        <is>
          <t>Riley Chen</t>
        </is>
      </c>
    </row>
    <row r="30">
      <c r="A30" s="33" t="n">
        <v>46101.77430555555</v>
      </c>
      <c r="B30" s="34" t="inlineStr">
        <is>
          <t>Customer Survey</t>
        </is>
      </c>
      <c r="C30" s="34" t="inlineStr">
        <is>
          <t>Call</t>
        </is>
      </c>
      <c r="D30" s="34" t="inlineStr">
        <is>
          <t>+1 555 2310</t>
        </is>
      </c>
      <c r="E30" s="34" t="inlineStr">
        <is>
          <t>client@example.com</t>
        </is>
      </c>
      <c r="F30" s="34" t="inlineStr">
        <is>
          <t>Completed</t>
        </is>
      </c>
      <c r="G30" s="35" t="n">
        <v>21</v>
      </c>
      <c r="H30" s="34" t="inlineStr">
        <is>
          <t>Alexandra Rose</t>
        </is>
      </c>
    </row>
    <row r="31">
      <c r="A31" s="36" t="n">
        <v>46143.45625</v>
      </c>
      <c r="B31" s="37" t="inlineStr">
        <is>
          <t>Renewal Reminder</t>
        </is>
      </c>
      <c r="C31" s="37" t="inlineStr">
        <is>
          <t>Email</t>
        </is>
      </c>
      <c r="D31" s="37" t="inlineStr">
        <is>
          <t>+1 555 2310</t>
        </is>
      </c>
      <c r="E31" s="37" t="inlineStr">
        <is>
          <t>team@example.com</t>
        </is>
      </c>
      <c r="F31" s="37" t="inlineStr">
        <is>
          <t>Pending</t>
        </is>
      </c>
      <c r="G31" s="38" t="n">
        <v>64</v>
      </c>
      <c r="H31" s="37" t="inlineStr">
        <is>
          <t>Casey Patel</t>
        </is>
      </c>
    </row>
    <row r="32">
      <c r="A32" s="33" t="n">
        <v>46279.42916666667</v>
      </c>
      <c r="B32" s="34" t="inlineStr">
        <is>
          <t>Product Launch</t>
        </is>
      </c>
      <c r="C32" s="34" t="inlineStr">
        <is>
          <t>Email</t>
        </is>
      </c>
      <c r="D32" s="34" t="inlineStr">
        <is>
          <t>+1 555 2310</t>
        </is>
      </c>
      <c r="E32" s="34" t="inlineStr">
        <is>
          <t>+1 555 2409</t>
        </is>
      </c>
      <c r="F32" s="34" t="inlineStr">
        <is>
          <t>Completed</t>
        </is>
      </c>
      <c r="G32" s="35" t="n">
        <v>33</v>
      </c>
      <c r="H32" s="34" t="inlineStr">
        <is>
          <t>Alexandra Rose</t>
        </is>
      </c>
    </row>
    <row r="33">
      <c r="A33" s="36" t="n">
        <v>46194.62777777778</v>
      </c>
      <c r="B33" s="37" t="inlineStr">
        <is>
          <t>Product Launch</t>
        </is>
      </c>
      <c r="C33" s="37" t="inlineStr">
        <is>
          <t>SMS</t>
        </is>
      </c>
      <c r="D33" s="37" t="inlineStr">
        <is>
          <t>+1 555 1359</t>
        </is>
      </c>
      <c r="E33" s="37" t="inlineStr">
        <is>
          <t>+1 555 2409</t>
        </is>
      </c>
      <c r="F33" s="37" t="inlineStr">
        <is>
          <t>Pending</t>
        </is>
      </c>
      <c r="G33" s="38" t="n">
        <v>58</v>
      </c>
      <c r="H33" s="37" t="inlineStr">
        <is>
          <t>Taylor Morgan</t>
        </is>
      </c>
    </row>
    <row r="34">
      <c r="A34" s="33" t="n">
        <v>46060.51458333333</v>
      </c>
      <c r="B34" s="34" t="inlineStr">
        <is>
          <t>Product Launch</t>
        </is>
      </c>
      <c r="C34" s="34" t="inlineStr">
        <is>
          <t>Email</t>
        </is>
      </c>
      <c r="D34" s="34" t="inlineStr">
        <is>
          <t>client@example.com</t>
        </is>
      </c>
      <c r="E34" s="34" t="inlineStr">
        <is>
          <t>+1 555 3492</t>
        </is>
      </c>
      <c r="F34" s="34" t="inlineStr">
        <is>
          <t>Completed</t>
        </is>
      </c>
      <c r="G34" s="35" t="n">
        <v>10</v>
      </c>
      <c r="H34" s="34" t="inlineStr">
        <is>
          <t>Taylor Morgan</t>
        </is>
      </c>
    </row>
    <row r="35">
      <c r="A35" s="36" t="n">
        <v>46219.58194444444</v>
      </c>
      <c r="B35" s="37" t="inlineStr">
        <is>
          <t>Welcome Series</t>
        </is>
      </c>
      <c r="C35" s="37" t="inlineStr">
        <is>
          <t>SMS</t>
        </is>
      </c>
      <c r="D35" s="37" t="inlineStr">
        <is>
          <t>client@example.com</t>
        </is>
      </c>
      <c r="E35" s="37" t="inlineStr">
        <is>
          <t>+1 555 3492</t>
        </is>
      </c>
      <c r="F35" s="37" t="inlineStr">
        <is>
          <t>Completed</t>
        </is>
      </c>
      <c r="G35" s="38" t="n">
        <v>28</v>
      </c>
      <c r="H35" s="37" t="inlineStr">
        <is>
          <t>Jordan Lee</t>
        </is>
      </c>
    </row>
    <row r="36">
      <c r="A36" s="33" t="n">
        <v>46133.48194444444</v>
      </c>
      <c r="B36" s="34" t="inlineStr">
        <is>
          <t>Customer Survey</t>
        </is>
      </c>
      <c r="C36" s="34" t="inlineStr">
        <is>
          <t>Email</t>
        </is>
      </c>
      <c r="D36" s="34" t="inlineStr">
        <is>
          <t>+1 555 2310</t>
        </is>
      </c>
      <c r="E36" s="34" t="inlineStr">
        <is>
          <t>+1 555 2409</t>
        </is>
      </c>
      <c r="F36" s="34" t="inlineStr">
        <is>
          <t>Pending</t>
        </is>
      </c>
      <c r="G36" s="35" t="n">
        <v>65</v>
      </c>
      <c r="H36" s="34" t="inlineStr">
        <is>
          <t>Taylor Morgan</t>
        </is>
      </c>
    </row>
    <row r="37">
      <c r="A37" s="36" t="n">
        <v>46230.75902777778</v>
      </c>
      <c r="B37" s="37" t="inlineStr">
        <is>
          <t>Renewal Reminder</t>
        </is>
      </c>
      <c r="C37" s="37" t="inlineStr">
        <is>
          <t>Email</t>
        </is>
      </c>
      <c r="D37" s="37" t="inlineStr">
        <is>
          <t>+1 555 0531</t>
        </is>
      </c>
      <c r="E37" s="37" t="inlineStr">
        <is>
          <t>+1 555 3492</t>
        </is>
      </c>
      <c r="F37" s="37" t="inlineStr">
        <is>
          <t>Completed</t>
        </is>
      </c>
      <c r="G37" s="38" t="n">
        <v>37</v>
      </c>
      <c r="H37" s="37" t="inlineStr">
        <is>
          <t>Casey Patel</t>
        </is>
      </c>
    </row>
    <row r="38">
      <c r="A38" s="33" t="n">
        <v>46229.61041666667</v>
      </c>
      <c r="B38" s="34" t="inlineStr">
        <is>
          <t>Customer Survey</t>
        </is>
      </c>
      <c r="C38" s="34" t="inlineStr">
        <is>
          <t>Call</t>
        </is>
      </c>
      <c r="D38" s="34" t="inlineStr">
        <is>
          <t>+1 555 1359</t>
        </is>
      </c>
      <c r="E38" s="34" t="inlineStr">
        <is>
          <t>+1 555 5630</t>
        </is>
      </c>
      <c r="F38" s="34" t="inlineStr">
        <is>
          <t>Completed</t>
        </is>
      </c>
      <c r="G38" s="35" t="n">
        <v>11</v>
      </c>
      <c r="H38" s="34" t="inlineStr">
        <is>
          <t>Jordan Lee</t>
        </is>
      </c>
    </row>
    <row r="39">
      <c r="A39" s="36" t="n">
        <v>46208.46805555555</v>
      </c>
      <c r="B39" s="37" t="inlineStr">
        <is>
          <t>Customer Survey</t>
        </is>
      </c>
      <c r="C39" s="37" t="inlineStr">
        <is>
          <t>Email</t>
        </is>
      </c>
      <c r="D39" s="37" t="inlineStr">
        <is>
          <t>client@example.com</t>
        </is>
      </c>
      <c r="E39" s="37" t="inlineStr">
        <is>
          <t>+1 555 5630</t>
        </is>
      </c>
      <c r="F39" s="37" t="inlineStr">
        <is>
          <t>Pending</t>
        </is>
      </c>
      <c r="G39" s="38" t="n">
        <v>19</v>
      </c>
      <c r="H39" s="37" t="inlineStr">
        <is>
          <t>Taylor Morgan</t>
        </is>
      </c>
    </row>
    <row r="40">
      <c r="A40" s="33" t="n">
        <v>46279.44236111111</v>
      </c>
      <c r="B40" s="34" t="inlineStr">
        <is>
          <t>Welcome Series</t>
        </is>
      </c>
      <c r="C40" s="34" t="inlineStr">
        <is>
          <t>SMS</t>
        </is>
      </c>
      <c r="D40" s="34" t="inlineStr">
        <is>
          <t>+1 555 1359</t>
        </is>
      </c>
      <c r="E40" s="34" t="inlineStr">
        <is>
          <t>+1 555 5630</t>
        </is>
      </c>
      <c r="F40" s="34" t="inlineStr">
        <is>
          <t>Completed</t>
        </is>
      </c>
      <c r="G40" s="35" t="n">
        <v>42</v>
      </c>
      <c r="H40" s="34" t="inlineStr">
        <is>
          <t>Casey Patel</t>
        </is>
      </c>
    </row>
    <row r="41">
      <c r="A41" s="36" t="n">
        <v>46224.48819444444</v>
      </c>
      <c r="B41" s="37" t="inlineStr">
        <is>
          <t>Product Launch</t>
        </is>
      </c>
      <c r="C41" s="37" t="inlineStr">
        <is>
          <t>SMS</t>
        </is>
      </c>
      <c r="D41" s="37" t="inlineStr">
        <is>
          <t>+1 555 2310</t>
        </is>
      </c>
      <c r="E41" s="37" t="inlineStr">
        <is>
          <t>client@example.com</t>
        </is>
      </c>
      <c r="F41" s="37" t="inlineStr">
        <is>
          <t>Completed</t>
        </is>
      </c>
      <c r="G41" s="38" t="n">
        <v>45</v>
      </c>
      <c r="H41" s="37" t="inlineStr">
        <is>
          <t>Jordan Lee</t>
        </is>
      </c>
    </row>
    <row r="42">
      <c r="A42" s="33" t="n">
        <v>46111.625</v>
      </c>
      <c r="B42" s="34" t="inlineStr">
        <is>
          <t>Customer Survey</t>
        </is>
      </c>
      <c r="C42" s="34" t="inlineStr">
        <is>
          <t>SMS</t>
        </is>
      </c>
      <c r="D42" s="34" t="inlineStr">
        <is>
          <t>+1 555 0531</t>
        </is>
      </c>
      <c r="E42" s="34" t="inlineStr">
        <is>
          <t>+1 555 5630</t>
        </is>
      </c>
      <c r="F42" s="34" t="inlineStr">
        <is>
          <t>Completed</t>
        </is>
      </c>
      <c r="G42" s="35" t="n">
        <v>42</v>
      </c>
      <c r="H42" s="34" t="inlineStr">
        <is>
          <t>Casey Patel</t>
        </is>
      </c>
    </row>
    <row r="43">
      <c r="A43" s="36" t="n">
        <v>46038.52083333334</v>
      </c>
      <c r="B43" s="37" t="inlineStr">
        <is>
          <t>Welcome Series</t>
        </is>
      </c>
      <c r="C43" s="37" t="inlineStr">
        <is>
          <t>Call</t>
        </is>
      </c>
      <c r="D43" s="37" t="inlineStr">
        <is>
          <t>+1 555 0531</t>
        </is>
      </c>
      <c r="E43" s="37" t="inlineStr">
        <is>
          <t>+1 555 3492</t>
        </is>
      </c>
      <c r="F43" s="37" t="inlineStr">
        <is>
          <t>Completed</t>
        </is>
      </c>
      <c r="G43" s="38" t="n">
        <v>10</v>
      </c>
      <c r="H43" s="37" t="inlineStr">
        <is>
          <t>Casey Patel</t>
        </is>
      </c>
    </row>
    <row r="44">
      <c r="A44" s="33" t="n">
        <v>46050.41458333333</v>
      </c>
      <c r="B44" s="34" t="inlineStr">
        <is>
          <t>Renewal Reminder</t>
        </is>
      </c>
      <c r="C44" s="34" t="inlineStr">
        <is>
          <t>SMS</t>
        </is>
      </c>
      <c r="D44" s="34" t="inlineStr">
        <is>
          <t>+1 555 2310</t>
        </is>
      </c>
      <c r="E44" s="34" t="inlineStr">
        <is>
          <t>client@example.com</t>
        </is>
      </c>
      <c r="F44" s="34" t="inlineStr">
        <is>
          <t>Completed</t>
        </is>
      </c>
      <c r="G44" s="35" t="n">
        <v>17</v>
      </c>
      <c r="H44" s="34" t="inlineStr">
        <is>
          <t>Riley Chen</t>
        </is>
      </c>
    </row>
    <row r="45">
      <c r="A45" s="36" t="n">
        <v>46157.70972222222</v>
      </c>
      <c r="B45" s="37" t="inlineStr">
        <is>
          <t>Newsletter</t>
        </is>
      </c>
      <c r="C45" s="37" t="inlineStr">
        <is>
          <t>Email</t>
        </is>
      </c>
      <c r="D45" s="37" t="inlineStr">
        <is>
          <t>alex@example.com</t>
        </is>
      </c>
      <c r="E45" s="37" t="inlineStr">
        <is>
          <t>team@example.com</t>
        </is>
      </c>
      <c r="F45" s="37" t="inlineStr">
        <is>
          <t>Completed</t>
        </is>
      </c>
      <c r="G45" s="38" t="n">
        <v>35</v>
      </c>
      <c r="H45" s="37" t="inlineStr">
        <is>
          <t>Alexandra Rose</t>
        </is>
      </c>
    </row>
    <row r="46">
      <c r="A46" s="33" t="n">
        <v>46051.5125</v>
      </c>
      <c r="B46" s="34" t="inlineStr">
        <is>
          <t>Product Launch</t>
        </is>
      </c>
      <c r="C46" s="34" t="inlineStr">
        <is>
          <t>SMS</t>
        </is>
      </c>
      <c r="D46" s="34" t="inlineStr">
        <is>
          <t>alex@example.com</t>
        </is>
      </c>
      <c r="E46" s="34" t="inlineStr">
        <is>
          <t>+1 555 2409</t>
        </is>
      </c>
      <c r="F46" s="34" t="inlineStr">
        <is>
          <t>Failed</t>
        </is>
      </c>
      <c r="G46" s="35" t="n"/>
      <c r="H46" s="34" t="inlineStr">
        <is>
          <t>Alexandra Rose</t>
        </is>
      </c>
    </row>
    <row r="47">
      <c r="A47" s="36" t="n">
        <v>46213.5625</v>
      </c>
      <c r="B47" s="37" t="inlineStr">
        <is>
          <t>Newsletter</t>
        </is>
      </c>
      <c r="C47" s="37" t="inlineStr">
        <is>
          <t>SMS</t>
        </is>
      </c>
      <c r="D47" s="37" t="inlineStr">
        <is>
          <t>+1 555 1359</t>
        </is>
      </c>
      <c r="E47" s="37" t="inlineStr">
        <is>
          <t>+1 555 2409</t>
        </is>
      </c>
      <c r="F47" s="37" t="inlineStr">
        <is>
          <t>Pending</t>
        </is>
      </c>
      <c r="G47" s="38" t="n">
        <v>73</v>
      </c>
      <c r="H47" s="37" t="inlineStr">
        <is>
          <t>Riley Chen</t>
        </is>
      </c>
    </row>
    <row r="48">
      <c r="A48" s="33" t="n">
        <v>46081.56458333333</v>
      </c>
      <c r="B48" s="34" t="inlineStr">
        <is>
          <t>Renewal Reminder</t>
        </is>
      </c>
      <c r="C48" s="34" t="inlineStr">
        <is>
          <t>Email</t>
        </is>
      </c>
      <c r="D48" s="34" t="inlineStr">
        <is>
          <t>alex@example.com</t>
        </is>
      </c>
      <c r="E48" s="34" t="inlineStr">
        <is>
          <t>+1 555 2409</t>
        </is>
      </c>
      <c r="F48" s="34" t="inlineStr">
        <is>
          <t>Pending</t>
        </is>
      </c>
      <c r="G48" s="35" t="n">
        <v>24</v>
      </c>
      <c r="H48" s="34" t="inlineStr">
        <is>
          <t>Alexandra Rose</t>
        </is>
      </c>
    </row>
    <row r="49">
      <c r="A49" s="36" t="n">
        <v>46223.40486111111</v>
      </c>
      <c r="B49" s="37" t="inlineStr">
        <is>
          <t>Renewal Reminder</t>
        </is>
      </c>
      <c r="C49" s="37" t="inlineStr">
        <is>
          <t>Email</t>
        </is>
      </c>
      <c r="D49" s="37" t="inlineStr">
        <is>
          <t>+1 555 7642</t>
        </is>
      </c>
      <c r="E49" s="37" t="inlineStr">
        <is>
          <t>+1 555 2409</t>
        </is>
      </c>
      <c r="F49" s="37" t="inlineStr">
        <is>
          <t>Completed</t>
        </is>
      </c>
      <c r="G49" s="38" t="n">
        <v>13</v>
      </c>
      <c r="H49" s="37" t="inlineStr">
        <is>
          <t>Taylor Morgan</t>
        </is>
      </c>
    </row>
    <row r="50">
      <c r="A50" s="33" t="n">
        <v>46032.7125</v>
      </c>
      <c r="B50" s="34" t="inlineStr">
        <is>
          <t>Newsletter</t>
        </is>
      </c>
      <c r="C50" s="34" t="inlineStr">
        <is>
          <t>Email</t>
        </is>
      </c>
      <c r="D50" s="34" t="inlineStr">
        <is>
          <t>client@example.com</t>
        </is>
      </c>
      <c r="E50" s="34" t="inlineStr">
        <is>
          <t>+1 555 3492</t>
        </is>
      </c>
      <c r="F50" s="34" t="inlineStr">
        <is>
          <t>Completed</t>
        </is>
      </c>
      <c r="G50" s="35" t="n">
        <v>15</v>
      </c>
      <c r="H50" s="34" t="inlineStr">
        <is>
          <t>Taylor Morgan</t>
        </is>
      </c>
    </row>
    <row r="51">
      <c r="A51" s="36" t="n">
        <v>46192.66736111111</v>
      </c>
      <c r="B51" s="37" t="inlineStr">
        <is>
          <t>Customer Survey</t>
        </is>
      </c>
      <c r="C51" s="37" t="inlineStr">
        <is>
          <t>SMS</t>
        </is>
      </c>
      <c r="D51" s="37" t="inlineStr">
        <is>
          <t>+1 555 0531</t>
        </is>
      </c>
      <c r="E51" s="37" t="inlineStr">
        <is>
          <t>+1 555 3492</t>
        </is>
      </c>
      <c r="F51" s="37" t="inlineStr">
        <is>
          <t>Completed</t>
        </is>
      </c>
      <c r="G51" s="38" t="n">
        <v>41</v>
      </c>
      <c r="H51" s="37" t="inlineStr">
        <is>
          <t>Riley Chen</t>
        </is>
      </c>
    </row>
    <row r="52">
      <c r="A52" s="33" t="n">
        <v>46188.66597222222</v>
      </c>
      <c r="B52" s="34" t="inlineStr">
        <is>
          <t>Renewal Reminder</t>
        </is>
      </c>
      <c r="C52" s="34" t="inlineStr">
        <is>
          <t>Email</t>
        </is>
      </c>
      <c r="D52" s="34" t="inlineStr">
        <is>
          <t>client@example.com</t>
        </is>
      </c>
      <c r="E52" s="34" t="inlineStr">
        <is>
          <t>client@example.com</t>
        </is>
      </c>
      <c r="F52" s="34" t="inlineStr">
        <is>
          <t>Pending</t>
        </is>
      </c>
      <c r="G52" s="35" t="n">
        <v>21</v>
      </c>
      <c r="H52" s="34" t="inlineStr">
        <is>
          <t>Taylor Morgan</t>
        </is>
      </c>
    </row>
    <row r="53">
      <c r="A53" s="36" t="n">
        <v>46085.74513888889</v>
      </c>
      <c r="B53" s="37" t="inlineStr">
        <is>
          <t>Win-back Campaign</t>
        </is>
      </c>
      <c r="C53" s="37" t="inlineStr">
        <is>
          <t>Email</t>
        </is>
      </c>
      <c r="D53" s="37" t="inlineStr">
        <is>
          <t>+1 555 2310</t>
        </is>
      </c>
      <c r="E53" s="37" t="inlineStr">
        <is>
          <t>+1 555 2409</t>
        </is>
      </c>
      <c r="F53" s="37" t="inlineStr">
        <is>
          <t>Pending</t>
        </is>
      </c>
      <c r="G53" s="38" t="n">
        <v>19</v>
      </c>
      <c r="H53" s="37" t="inlineStr">
        <is>
          <t>Jordan Lee</t>
        </is>
      </c>
    </row>
    <row r="54">
      <c r="A54" s="33" t="n">
        <v>46125.53263888889</v>
      </c>
      <c r="B54" s="34" t="inlineStr">
        <is>
          <t>Welcome Series</t>
        </is>
      </c>
      <c r="C54" s="34" t="inlineStr">
        <is>
          <t>SMS</t>
        </is>
      </c>
      <c r="D54" s="34" t="inlineStr">
        <is>
          <t>+1 555 7642</t>
        </is>
      </c>
      <c r="E54" s="34" t="inlineStr">
        <is>
          <t>team@example.com</t>
        </is>
      </c>
      <c r="F54" s="34" t="inlineStr">
        <is>
          <t>Completed</t>
        </is>
      </c>
      <c r="G54" s="35" t="n">
        <v>25</v>
      </c>
      <c r="H54" s="34" t="inlineStr">
        <is>
          <t>Casey Patel</t>
        </is>
      </c>
    </row>
    <row r="55">
      <c r="A55" s="36" t="n">
        <v>46234.76111111111</v>
      </c>
      <c r="B55" s="37" t="inlineStr">
        <is>
          <t>Renewal Reminder</t>
        </is>
      </c>
      <c r="C55" s="37" t="inlineStr">
        <is>
          <t>SMS</t>
        </is>
      </c>
      <c r="D55" s="37" t="inlineStr">
        <is>
          <t>+1 555 1359</t>
        </is>
      </c>
      <c r="E55" s="37" t="inlineStr">
        <is>
          <t>+1 555 5630</t>
        </is>
      </c>
      <c r="F55" s="37" t="inlineStr">
        <is>
          <t>Completed</t>
        </is>
      </c>
      <c r="G55" s="38" t="n">
        <v>26</v>
      </c>
      <c r="H55" s="37" t="inlineStr">
        <is>
          <t>Taylor Morgan</t>
        </is>
      </c>
    </row>
    <row r="56">
      <c r="A56" s="33" t="n">
        <v>46141.76388888889</v>
      </c>
      <c r="B56" s="34" t="inlineStr">
        <is>
          <t>Renewal Reminder</t>
        </is>
      </c>
      <c r="C56" s="34" t="inlineStr">
        <is>
          <t>SMS</t>
        </is>
      </c>
      <c r="D56" s="34" t="inlineStr">
        <is>
          <t>+1 555 0531</t>
        </is>
      </c>
      <c r="E56" s="34" t="inlineStr">
        <is>
          <t>+1 555 5630</t>
        </is>
      </c>
      <c r="F56" s="34" t="inlineStr">
        <is>
          <t>Pending</t>
        </is>
      </c>
      <c r="G56" s="35" t="n">
        <v>37</v>
      </c>
      <c r="H56" s="34" t="inlineStr">
        <is>
          <t>Riley Chen</t>
        </is>
      </c>
    </row>
    <row r="57">
      <c r="A57" s="36" t="n">
        <v>46262.47777777778</v>
      </c>
      <c r="B57" s="37" t="inlineStr">
        <is>
          <t>Welcome Series</t>
        </is>
      </c>
      <c r="C57" s="37" t="inlineStr">
        <is>
          <t>SMS</t>
        </is>
      </c>
      <c r="D57" s="37" t="inlineStr">
        <is>
          <t>+1 555 1359</t>
        </is>
      </c>
      <c r="E57" s="37" t="inlineStr">
        <is>
          <t>+1 555 2409</t>
        </is>
      </c>
      <c r="F57" s="37" t="inlineStr">
        <is>
          <t>Pending</t>
        </is>
      </c>
      <c r="G57" s="38" t="n">
        <v>89</v>
      </c>
      <c r="H57" s="37" t="inlineStr">
        <is>
          <t>Jordan Lee</t>
        </is>
      </c>
    </row>
    <row r="58">
      <c r="A58" s="33" t="n">
        <v>46025.50208333333</v>
      </c>
      <c r="B58" s="34" t="inlineStr">
        <is>
          <t>Customer Survey</t>
        </is>
      </c>
      <c r="C58" s="34" t="inlineStr">
        <is>
          <t>Email</t>
        </is>
      </c>
      <c r="D58" s="34" t="inlineStr">
        <is>
          <t>+1 555 7642</t>
        </is>
      </c>
      <c r="E58" s="34" t="inlineStr">
        <is>
          <t>+1 555 2409</t>
        </is>
      </c>
      <c r="F58" s="34" t="inlineStr">
        <is>
          <t>Pending</t>
        </is>
      </c>
      <c r="G58" s="35" t="n">
        <v>56</v>
      </c>
      <c r="H58" s="34" t="inlineStr">
        <is>
          <t>Riley Chen</t>
        </is>
      </c>
    </row>
    <row r="59">
      <c r="A59" s="36" t="n">
        <v>46309.70069444444</v>
      </c>
      <c r="B59" s="37" t="inlineStr">
        <is>
          <t>Win-back Campaign</t>
        </is>
      </c>
      <c r="C59" s="37" t="inlineStr">
        <is>
          <t>Call</t>
        </is>
      </c>
      <c r="D59" s="37" t="inlineStr">
        <is>
          <t>alex@example.com</t>
        </is>
      </c>
      <c r="E59" s="37" t="inlineStr">
        <is>
          <t>+1 555 3492</t>
        </is>
      </c>
      <c r="F59" s="37" t="inlineStr">
        <is>
          <t>Completed</t>
        </is>
      </c>
      <c r="G59" s="38" t="n">
        <v>21</v>
      </c>
      <c r="H59" s="37" t="inlineStr">
        <is>
          <t>Jordan Lee</t>
        </is>
      </c>
    </row>
    <row r="60">
      <c r="A60" s="33" t="n">
        <v>46206.73472222222</v>
      </c>
      <c r="B60" s="34" t="inlineStr">
        <is>
          <t>Renewal Reminder</t>
        </is>
      </c>
      <c r="C60" s="34" t="inlineStr">
        <is>
          <t>Email</t>
        </is>
      </c>
      <c r="D60" s="34" t="inlineStr">
        <is>
          <t>+1 555 7642</t>
        </is>
      </c>
      <c r="E60" s="34" t="inlineStr">
        <is>
          <t>client@example.com</t>
        </is>
      </c>
      <c r="F60" s="34" t="inlineStr">
        <is>
          <t>Completed</t>
        </is>
      </c>
      <c r="G60" s="35" t="n">
        <v>18</v>
      </c>
      <c r="H60" s="34" t="inlineStr">
        <is>
          <t>Alexandra Rose</t>
        </is>
      </c>
    </row>
    <row r="61">
      <c r="A61" s="36" t="n">
        <v>46088.37291666667</v>
      </c>
      <c r="B61" s="37" t="inlineStr">
        <is>
          <t>Renewal Reminder</t>
        </is>
      </c>
      <c r="C61" s="37" t="inlineStr">
        <is>
          <t>Call</t>
        </is>
      </c>
      <c r="D61" s="37" t="inlineStr">
        <is>
          <t>+1 555 0531</t>
        </is>
      </c>
      <c r="E61" s="37" t="inlineStr">
        <is>
          <t>+1 555 2409</t>
        </is>
      </c>
      <c r="F61" s="37" t="inlineStr">
        <is>
          <t>Completed</t>
        </is>
      </c>
      <c r="G61" s="38" t="n">
        <v>29</v>
      </c>
      <c r="H61" s="37" t="inlineStr">
        <is>
          <t>Jordan Lee</t>
        </is>
      </c>
    </row>
    <row r="62">
      <c r="A62" s="33" t="n">
        <v>46218.6125</v>
      </c>
      <c r="B62" s="34" t="inlineStr">
        <is>
          <t>Product Launch</t>
        </is>
      </c>
      <c r="C62" s="34" t="inlineStr">
        <is>
          <t>Email</t>
        </is>
      </c>
      <c r="D62" s="34" t="inlineStr">
        <is>
          <t>+1 555 1359</t>
        </is>
      </c>
      <c r="E62" s="34" t="inlineStr">
        <is>
          <t>+1 555 2409</t>
        </is>
      </c>
      <c r="F62" s="34" t="inlineStr">
        <is>
          <t>Completed</t>
        </is>
      </c>
      <c r="G62" s="35" t="n">
        <v>13</v>
      </c>
      <c r="H62" s="34" t="inlineStr">
        <is>
          <t>Riley Chen</t>
        </is>
      </c>
    </row>
    <row r="63">
      <c r="A63" s="36" t="n">
        <v>46262.54791666667</v>
      </c>
      <c r="B63" s="37" t="inlineStr">
        <is>
          <t>Win-back Campaign</t>
        </is>
      </c>
      <c r="C63" s="37" t="inlineStr">
        <is>
          <t>SMS</t>
        </is>
      </c>
      <c r="D63" s="37" t="inlineStr">
        <is>
          <t>+1 555 2310</t>
        </is>
      </c>
      <c r="E63" s="37" t="inlineStr">
        <is>
          <t>+1 555 3492</t>
        </is>
      </c>
      <c r="F63" s="37" t="inlineStr">
        <is>
          <t>Failed</t>
        </is>
      </c>
      <c r="G63" s="38" t="n"/>
      <c r="H63" s="37" t="inlineStr">
        <is>
          <t>Casey Patel</t>
        </is>
      </c>
    </row>
    <row r="64">
      <c r="A64" s="33" t="n">
        <v>46263.38263888889</v>
      </c>
      <c r="B64" s="34" t="inlineStr">
        <is>
          <t>Welcome Series</t>
        </is>
      </c>
      <c r="C64" s="34" t="inlineStr">
        <is>
          <t>Call</t>
        </is>
      </c>
      <c r="D64" s="34" t="inlineStr">
        <is>
          <t>+1 555 2310</t>
        </is>
      </c>
      <c r="E64" s="34" t="inlineStr">
        <is>
          <t>team@example.com</t>
        </is>
      </c>
      <c r="F64" s="34" t="inlineStr">
        <is>
          <t>Completed</t>
        </is>
      </c>
      <c r="G64" s="35" t="n">
        <v>20</v>
      </c>
      <c r="H64" s="34" t="inlineStr">
        <is>
          <t>Riley Chen</t>
        </is>
      </c>
    </row>
    <row r="65">
      <c r="A65" s="36" t="n">
        <v>46154.56111111111</v>
      </c>
      <c r="B65" s="37" t="inlineStr">
        <is>
          <t>Newsletter</t>
        </is>
      </c>
      <c r="C65" s="37" t="inlineStr">
        <is>
          <t>Call</t>
        </is>
      </c>
      <c r="D65" s="37" t="inlineStr">
        <is>
          <t>client@example.com</t>
        </is>
      </c>
      <c r="E65" s="37" t="inlineStr">
        <is>
          <t>+1 555 5630</t>
        </is>
      </c>
      <c r="F65" s="37" t="inlineStr">
        <is>
          <t>Completed</t>
        </is>
      </c>
      <c r="G65" s="38" t="n">
        <v>29</v>
      </c>
      <c r="H65" s="37" t="inlineStr">
        <is>
          <t>Riley Chen</t>
        </is>
      </c>
    </row>
    <row r="66">
      <c r="A66" s="33" t="n">
        <v>46131.4625</v>
      </c>
      <c r="B66" s="34" t="inlineStr">
        <is>
          <t>Product Launch</t>
        </is>
      </c>
      <c r="C66" s="34" t="inlineStr">
        <is>
          <t>Call</t>
        </is>
      </c>
      <c r="D66" s="34" t="inlineStr">
        <is>
          <t>+1 555 2310</t>
        </is>
      </c>
      <c r="E66" s="34" t="inlineStr">
        <is>
          <t>+1 555 3492</t>
        </is>
      </c>
      <c r="F66" s="34" t="inlineStr">
        <is>
          <t>Completed</t>
        </is>
      </c>
      <c r="G66" s="35" t="n">
        <v>3</v>
      </c>
      <c r="H66" s="34" t="inlineStr">
        <is>
          <t>Jordan Lee</t>
        </is>
      </c>
    </row>
    <row r="67">
      <c r="A67" s="36" t="n">
        <v>46130.67430555556</v>
      </c>
      <c r="B67" s="37" t="inlineStr">
        <is>
          <t>Renewal Reminder</t>
        </is>
      </c>
      <c r="C67" s="37" t="inlineStr">
        <is>
          <t>Call</t>
        </is>
      </c>
      <c r="D67" s="37" t="inlineStr">
        <is>
          <t>alex@example.com</t>
        </is>
      </c>
      <c r="E67" s="37" t="inlineStr">
        <is>
          <t>+1 555 2409</t>
        </is>
      </c>
      <c r="F67" s="37" t="inlineStr">
        <is>
          <t>Failed</t>
        </is>
      </c>
      <c r="G67" s="38" t="n"/>
      <c r="H67" s="37" t="inlineStr">
        <is>
          <t>Casey Patel</t>
        </is>
      </c>
    </row>
    <row r="68">
      <c r="A68" s="33" t="n">
        <v>46039.77013888889</v>
      </c>
      <c r="B68" s="34" t="inlineStr">
        <is>
          <t>Customer Survey</t>
        </is>
      </c>
      <c r="C68" s="34" t="inlineStr">
        <is>
          <t>SMS</t>
        </is>
      </c>
      <c r="D68" s="34" t="inlineStr">
        <is>
          <t>alex@example.com</t>
        </is>
      </c>
      <c r="E68" s="34" t="inlineStr">
        <is>
          <t>+1 555 2409</t>
        </is>
      </c>
      <c r="F68" s="34" t="inlineStr">
        <is>
          <t>Completed</t>
        </is>
      </c>
      <c r="G68" s="35" t="n">
        <v>35</v>
      </c>
      <c r="H68" s="34" t="inlineStr">
        <is>
          <t>Alexandra Rose</t>
        </is>
      </c>
    </row>
    <row r="69">
      <c r="A69" s="36" t="n">
        <v>46068.40208333333</v>
      </c>
      <c r="B69" s="37" t="inlineStr">
        <is>
          <t>Customer Survey</t>
        </is>
      </c>
      <c r="C69" s="37" t="inlineStr">
        <is>
          <t>Call</t>
        </is>
      </c>
      <c r="D69" s="37" t="inlineStr">
        <is>
          <t>client@example.com</t>
        </is>
      </c>
      <c r="E69" s="37" t="inlineStr">
        <is>
          <t>+1 555 2409</t>
        </is>
      </c>
      <c r="F69" s="37" t="inlineStr">
        <is>
          <t>Pending</t>
        </is>
      </c>
      <c r="G69" s="38" t="n">
        <v>113</v>
      </c>
      <c r="H69" s="37" t="inlineStr">
        <is>
          <t>Jordan Lee</t>
        </is>
      </c>
    </row>
    <row r="70">
      <c r="A70" s="33" t="n">
        <v>46169.45208333333</v>
      </c>
      <c r="B70" s="34" t="inlineStr">
        <is>
          <t>Newsletter</t>
        </is>
      </c>
      <c r="C70" s="34" t="inlineStr">
        <is>
          <t>SMS</t>
        </is>
      </c>
      <c r="D70" s="34" t="inlineStr">
        <is>
          <t>+1 555 2310</t>
        </is>
      </c>
      <c r="E70" s="34" t="inlineStr">
        <is>
          <t>client@example.com</t>
        </is>
      </c>
      <c r="F70" s="34" t="inlineStr">
        <is>
          <t>Pending</t>
        </is>
      </c>
      <c r="G70" s="35" t="n">
        <v>103</v>
      </c>
      <c r="H70" s="34" t="inlineStr">
        <is>
          <t>Jordan Lee</t>
        </is>
      </c>
    </row>
    <row r="71">
      <c r="A71" s="36" t="n">
        <v>46311.66111111111</v>
      </c>
      <c r="B71" s="37" t="inlineStr">
        <is>
          <t>Customer Survey</t>
        </is>
      </c>
      <c r="C71" s="37" t="inlineStr">
        <is>
          <t>SMS</t>
        </is>
      </c>
      <c r="D71" s="37" t="inlineStr">
        <is>
          <t>+1 555 1359</t>
        </is>
      </c>
      <c r="E71" s="37" t="inlineStr">
        <is>
          <t>+1 555 5630</t>
        </is>
      </c>
      <c r="F71" s="37" t="inlineStr">
        <is>
          <t>Pending</t>
        </is>
      </c>
      <c r="G71" s="38" t="n">
        <v>100</v>
      </c>
      <c r="H71" s="37" t="inlineStr">
        <is>
          <t>Riley Chen</t>
        </is>
      </c>
    </row>
    <row r="72">
      <c r="A72" s="33" t="n">
        <v>46241.52013888889</v>
      </c>
      <c r="B72" s="34" t="inlineStr">
        <is>
          <t>Win-back Campaign</t>
        </is>
      </c>
      <c r="C72" s="34" t="inlineStr">
        <is>
          <t>SMS</t>
        </is>
      </c>
      <c r="D72" s="34" t="inlineStr">
        <is>
          <t>+1 555 2310</t>
        </is>
      </c>
      <c r="E72" s="34" t="inlineStr">
        <is>
          <t>+1 555 5630</t>
        </is>
      </c>
      <c r="F72" s="34" t="inlineStr">
        <is>
          <t>Completed</t>
        </is>
      </c>
      <c r="G72" s="35" t="n">
        <v>34</v>
      </c>
      <c r="H72" s="34" t="inlineStr">
        <is>
          <t>Taylor Morgan</t>
        </is>
      </c>
    </row>
    <row r="73">
      <c r="A73" s="36" t="n">
        <v>46042.36527777778</v>
      </c>
      <c r="B73" s="37" t="inlineStr">
        <is>
          <t>Newsletter</t>
        </is>
      </c>
      <c r="C73" s="37" t="inlineStr">
        <is>
          <t>Email</t>
        </is>
      </c>
      <c r="D73" s="37" t="inlineStr">
        <is>
          <t>alex@example.com</t>
        </is>
      </c>
      <c r="E73" s="37" t="inlineStr">
        <is>
          <t>+1 555 2409</t>
        </is>
      </c>
      <c r="F73" s="37" t="inlineStr">
        <is>
          <t>Pending</t>
        </is>
      </c>
      <c r="G73" s="38" t="n">
        <v>20</v>
      </c>
      <c r="H73" s="37" t="inlineStr">
        <is>
          <t>Riley Chen</t>
        </is>
      </c>
    </row>
    <row r="74">
      <c r="A74" s="33" t="n">
        <v>46131.41041666667</v>
      </c>
      <c r="B74" s="34" t="inlineStr">
        <is>
          <t>Customer Survey</t>
        </is>
      </c>
      <c r="C74" s="34" t="inlineStr">
        <is>
          <t>Email</t>
        </is>
      </c>
      <c r="D74" s="34" t="inlineStr">
        <is>
          <t>+1 555 2310</t>
        </is>
      </c>
      <c r="E74" s="34" t="inlineStr">
        <is>
          <t>+1 555 5630</t>
        </is>
      </c>
      <c r="F74" s="34" t="inlineStr">
        <is>
          <t>Completed</t>
        </is>
      </c>
      <c r="G74" s="35" t="n">
        <v>39</v>
      </c>
      <c r="H74" s="34" t="inlineStr">
        <is>
          <t>Casey Patel</t>
        </is>
      </c>
    </row>
    <row r="75">
      <c r="A75" s="36" t="n">
        <v>46266.48472222222</v>
      </c>
      <c r="B75" s="37" t="inlineStr">
        <is>
          <t>Welcome Series</t>
        </is>
      </c>
      <c r="C75" s="37" t="inlineStr">
        <is>
          <t>Call</t>
        </is>
      </c>
      <c r="D75" s="37" t="inlineStr">
        <is>
          <t>+1 555 1359</t>
        </is>
      </c>
      <c r="E75" s="37" t="inlineStr">
        <is>
          <t>team@example.com</t>
        </is>
      </c>
      <c r="F75" s="37" t="inlineStr">
        <is>
          <t>Failed</t>
        </is>
      </c>
      <c r="G75" s="38" t="n"/>
      <c r="H75" s="37" t="inlineStr">
        <is>
          <t>Jordan Lee</t>
        </is>
      </c>
    </row>
    <row r="76">
      <c r="A76" s="33" t="n">
        <v>46291.75277777778</v>
      </c>
      <c r="B76" s="34" t="inlineStr">
        <is>
          <t>Renewal Reminder</t>
        </is>
      </c>
      <c r="C76" s="34" t="inlineStr">
        <is>
          <t>SMS</t>
        </is>
      </c>
      <c r="D76" s="34" t="inlineStr">
        <is>
          <t>+1 555 2310</t>
        </is>
      </c>
      <c r="E76" s="34" t="inlineStr">
        <is>
          <t>team@example.com</t>
        </is>
      </c>
      <c r="F76" s="34" t="inlineStr">
        <is>
          <t>Completed</t>
        </is>
      </c>
      <c r="G76" s="35" t="n">
        <v>18</v>
      </c>
      <c r="H76" s="34" t="inlineStr">
        <is>
          <t>Jordan Lee</t>
        </is>
      </c>
    </row>
    <row r="77">
      <c r="A77" s="36" t="n">
        <v>46198.63125</v>
      </c>
      <c r="B77" s="37" t="inlineStr">
        <is>
          <t>Newsletter</t>
        </is>
      </c>
      <c r="C77" s="37" t="inlineStr">
        <is>
          <t>Email</t>
        </is>
      </c>
      <c r="D77" s="37" t="inlineStr">
        <is>
          <t>+1 555 2310</t>
        </is>
      </c>
      <c r="E77" s="37" t="inlineStr">
        <is>
          <t>+1 555 2409</t>
        </is>
      </c>
      <c r="F77" s="37" t="inlineStr">
        <is>
          <t>Failed</t>
        </is>
      </c>
      <c r="G77" s="38" t="n"/>
      <c r="H77" s="37" t="inlineStr">
        <is>
          <t>Casey Patel</t>
        </is>
      </c>
    </row>
    <row r="78">
      <c r="A78" s="33" t="n">
        <v>46158.64166666667</v>
      </c>
      <c r="B78" s="34" t="inlineStr">
        <is>
          <t>Customer Survey</t>
        </is>
      </c>
      <c r="C78" s="34" t="inlineStr">
        <is>
          <t>Email</t>
        </is>
      </c>
      <c r="D78" s="34" t="inlineStr">
        <is>
          <t>client@example.com</t>
        </is>
      </c>
      <c r="E78" s="34" t="inlineStr">
        <is>
          <t>+1 555 3492</t>
        </is>
      </c>
      <c r="F78" s="34" t="inlineStr">
        <is>
          <t>Completed</t>
        </is>
      </c>
      <c r="G78" s="35" t="n">
        <v>11</v>
      </c>
      <c r="H78" s="34" t="inlineStr">
        <is>
          <t>Alexandra Rose</t>
        </is>
      </c>
    </row>
    <row r="79">
      <c r="A79" s="36" t="n">
        <v>46131.78263888889</v>
      </c>
      <c r="B79" s="37" t="inlineStr">
        <is>
          <t>Win-back Campaign</t>
        </is>
      </c>
      <c r="C79" s="37" t="inlineStr">
        <is>
          <t>Call</t>
        </is>
      </c>
      <c r="D79" s="37" t="inlineStr">
        <is>
          <t>client@example.com</t>
        </is>
      </c>
      <c r="E79" s="37" t="inlineStr">
        <is>
          <t>+1 555 3492</t>
        </is>
      </c>
      <c r="F79" s="37" t="inlineStr">
        <is>
          <t>Completed</t>
        </is>
      </c>
      <c r="G79" s="38" t="n">
        <v>40</v>
      </c>
      <c r="H79" s="37" t="inlineStr">
        <is>
          <t>Taylor Morgan</t>
        </is>
      </c>
    </row>
    <row r="80">
      <c r="A80" s="33" t="n">
        <v>46284.57222222222</v>
      </c>
      <c r="B80" s="34" t="inlineStr">
        <is>
          <t>Welcome Series</t>
        </is>
      </c>
      <c r="C80" s="34" t="inlineStr">
        <is>
          <t>SMS</t>
        </is>
      </c>
      <c r="D80" s="34" t="inlineStr">
        <is>
          <t>+1 555 7642</t>
        </is>
      </c>
      <c r="E80" s="34" t="inlineStr">
        <is>
          <t>+1 555 2409</t>
        </is>
      </c>
      <c r="F80" s="34" t="inlineStr">
        <is>
          <t>Completed</t>
        </is>
      </c>
      <c r="G80" s="35" t="n">
        <v>16</v>
      </c>
      <c r="H80" s="34" t="inlineStr">
        <is>
          <t>Casey Patel</t>
        </is>
      </c>
    </row>
    <row r="81">
      <c r="A81" s="36" t="n">
        <v>46039.61180555556</v>
      </c>
      <c r="B81" s="37" t="inlineStr">
        <is>
          <t>Product Launch</t>
        </is>
      </c>
      <c r="C81" s="37" t="inlineStr">
        <is>
          <t>Email</t>
        </is>
      </c>
      <c r="D81" s="37" t="inlineStr">
        <is>
          <t>alex@example.com</t>
        </is>
      </c>
      <c r="E81" s="37" t="inlineStr">
        <is>
          <t>+1 555 3492</t>
        </is>
      </c>
      <c r="F81" s="37" t="inlineStr">
        <is>
          <t>Completed</t>
        </is>
      </c>
      <c r="G81" s="38" t="n">
        <v>40</v>
      </c>
      <c r="H81" s="37" t="inlineStr">
        <is>
          <t>Taylor Morgan</t>
        </is>
      </c>
    </row>
    <row r="82">
      <c r="A82" s="33" t="n">
        <v>46282.525</v>
      </c>
      <c r="B82" s="34" t="inlineStr">
        <is>
          <t>Newsletter</t>
        </is>
      </c>
      <c r="C82" s="34" t="inlineStr">
        <is>
          <t>Email</t>
        </is>
      </c>
      <c r="D82" s="34" t="inlineStr">
        <is>
          <t>client@example.com</t>
        </is>
      </c>
      <c r="E82" s="34" t="inlineStr">
        <is>
          <t>+1 555 3492</t>
        </is>
      </c>
      <c r="F82" s="34" t="inlineStr">
        <is>
          <t>Pending</t>
        </is>
      </c>
      <c r="G82" s="35" t="n">
        <v>10</v>
      </c>
      <c r="H82" s="34" t="inlineStr">
        <is>
          <t>Alexandra Rose</t>
        </is>
      </c>
    </row>
    <row r="83">
      <c r="A83" s="36" t="n">
        <v>46137.70277777778</v>
      </c>
      <c r="B83" s="37" t="inlineStr">
        <is>
          <t>Welcome Series</t>
        </is>
      </c>
      <c r="C83" s="37" t="inlineStr">
        <is>
          <t>Call</t>
        </is>
      </c>
      <c r="D83" s="37" t="inlineStr">
        <is>
          <t>alex@example.com</t>
        </is>
      </c>
      <c r="E83" s="37" t="inlineStr">
        <is>
          <t>team@example.com</t>
        </is>
      </c>
      <c r="F83" s="37" t="inlineStr">
        <is>
          <t>Completed</t>
        </is>
      </c>
      <c r="G83" s="38" t="n">
        <v>21</v>
      </c>
      <c r="H83" s="37" t="inlineStr">
        <is>
          <t>Taylor Morgan</t>
        </is>
      </c>
    </row>
    <row r="84">
      <c r="A84" s="33" t="n">
        <v>46040.47152777778</v>
      </c>
      <c r="B84" s="34" t="inlineStr">
        <is>
          <t>Renewal Reminder</t>
        </is>
      </c>
      <c r="C84" s="34" t="inlineStr">
        <is>
          <t>SMS</t>
        </is>
      </c>
      <c r="D84" s="34" t="inlineStr">
        <is>
          <t>client@example.com</t>
        </is>
      </c>
      <c r="E84" s="34" t="inlineStr">
        <is>
          <t>+1 555 5630</t>
        </is>
      </c>
      <c r="F84" s="34" t="inlineStr">
        <is>
          <t>Failed</t>
        </is>
      </c>
      <c r="G84" s="35" t="n"/>
      <c r="H84" s="34" t="inlineStr">
        <is>
          <t>Riley Chen</t>
        </is>
      </c>
    </row>
    <row r="85">
      <c r="A85" s="36" t="n">
        <v>46027.56041666667</v>
      </c>
      <c r="B85" s="37" t="inlineStr">
        <is>
          <t>Win-back Campaign</t>
        </is>
      </c>
      <c r="C85" s="37" t="inlineStr">
        <is>
          <t>Call</t>
        </is>
      </c>
      <c r="D85" s="37" t="inlineStr">
        <is>
          <t>client@example.com</t>
        </is>
      </c>
      <c r="E85" s="37" t="inlineStr">
        <is>
          <t>team@example.com</t>
        </is>
      </c>
      <c r="F85" s="37" t="inlineStr">
        <is>
          <t>Pending</t>
        </is>
      </c>
      <c r="G85" s="38" t="n">
        <v>105</v>
      </c>
      <c r="H85" s="37" t="inlineStr">
        <is>
          <t>Taylor Morgan</t>
        </is>
      </c>
    </row>
    <row r="86">
      <c r="A86" s="33" t="n">
        <v>46305.69027777778</v>
      </c>
      <c r="B86" s="34" t="inlineStr">
        <is>
          <t>Product Launch</t>
        </is>
      </c>
      <c r="C86" s="34" t="inlineStr">
        <is>
          <t>SMS</t>
        </is>
      </c>
      <c r="D86" s="34" t="inlineStr">
        <is>
          <t>+1 555 2310</t>
        </is>
      </c>
      <c r="E86" s="34" t="inlineStr">
        <is>
          <t>+1 555 2409</t>
        </is>
      </c>
      <c r="F86" s="34" t="inlineStr">
        <is>
          <t>Completed</t>
        </is>
      </c>
      <c r="G86" s="35" t="n">
        <v>40</v>
      </c>
      <c r="H86" s="34" t="inlineStr">
        <is>
          <t>Riley Chen</t>
        </is>
      </c>
    </row>
    <row r="87">
      <c r="A87" s="36" t="n">
        <v>46108.66319444445</v>
      </c>
      <c r="B87" s="37" t="inlineStr">
        <is>
          <t>Product Launch</t>
        </is>
      </c>
      <c r="C87" s="37" t="inlineStr">
        <is>
          <t>SMS</t>
        </is>
      </c>
      <c r="D87" s="37" t="inlineStr">
        <is>
          <t>+1 555 0531</t>
        </is>
      </c>
      <c r="E87" s="37" t="inlineStr">
        <is>
          <t>+1 555 2409</t>
        </is>
      </c>
      <c r="F87" s="37" t="inlineStr">
        <is>
          <t>Pending</t>
        </is>
      </c>
      <c r="G87" s="38" t="n">
        <v>24</v>
      </c>
      <c r="H87" s="37" t="inlineStr">
        <is>
          <t>Jordan Lee</t>
        </is>
      </c>
    </row>
    <row r="88">
      <c r="A88" s="33" t="n">
        <v>46126.47430555556</v>
      </c>
      <c r="B88" s="34" t="inlineStr">
        <is>
          <t>Welcome Series</t>
        </is>
      </c>
      <c r="C88" s="34" t="inlineStr">
        <is>
          <t>SMS</t>
        </is>
      </c>
      <c r="D88" s="34" t="inlineStr">
        <is>
          <t>+1 555 7642</t>
        </is>
      </c>
      <c r="E88" s="34" t="inlineStr">
        <is>
          <t>team@example.com</t>
        </is>
      </c>
      <c r="F88" s="34" t="inlineStr">
        <is>
          <t>Completed</t>
        </is>
      </c>
      <c r="G88" s="35" t="n">
        <v>1</v>
      </c>
      <c r="H88" s="34" t="inlineStr">
        <is>
          <t>Casey Patel</t>
        </is>
      </c>
    </row>
    <row r="89">
      <c r="A89" s="36" t="n">
        <v>46107.40347222222</v>
      </c>
      <c r="B89" s="37" t="inlineStr">
        <is>
          <t>Renewal Reminder</t>
        </is>
      </c>
      <c r="C89" s="37" t="inlineStr">
        <is>
          <t>Email</t>
        </is>
      </c>
      <c r="D89" s="37" t="inlineStr">
        <is>
          <t>+1 555 0531</t>
        </is>
      </c>
      <c r="E89" s="37" t="inlineStr">
        <is>
          <t>team@example.com</t>
        </is>
      </c>
      <c r="F89" s="37" t="inlineStr">
        <is>
          <t>Completed</t>
        </is>
      </c>
      <c r="G89" s="38" t="n">
        <v>45</v>
      </c>
      <c r="H89" s="37" t="inlineStr">
        <is>
          <t>Casey Patel</t>
        </is>
      </c>
    </row>
    <row r="90">
      <c r="A90" s="33" t="n">
        <v>46256.48541666667</v>
      </c>
      <c r="B90" s="34" t="inlineStr">
        <is>
          <t>Newsletter</t>
        </is>
      </c>
      <c r="C90" s="34" t="inlineStr">
        <is>
          <t>Email</t>
        </is>
      </c>
      <c r="D90" s="34" t="inlineStr">
        <is>
          <t>+1 555 2310</t>
        </is>
      </c>
      <c r="E90" s="34" t="inlineStr">
        <is>
          <t>team@example.com</t>
        </is>
      </c>
      <c r="F90" s="34" t="inlineStr">
        <is>
          <t>Completed</t>
        </is>
      </c>
      <c r="G90" s="35" t="n">
        <v>2</v>
      </c>
      <c r="H90" s="34" t="inlineStr">
        <is>
          <t>Jordan Lee</t>
        </is>
      </c>
    </row>
    <row r="91">
      <c r="A91" s="36" t="n">
        <v>46115.78888888889</v>
      </c>
      <c r="B91" s="37" t="inlineStr">
        <is>
          <t>Win-back Campaign</t>
        </is>
      </c>
      <c r="C91" s="37" t="inlineStr">
        <is>
          <t>Email</t>
        </is>
      </c>
      <c r="D91" s="37" t="inlineStr">
        <is>
          <t>client@example.com</t>
        </is>
      </c>
      <c r="E91" s="37" t="inlineStr">
        <is>
          <t>+1 555 2409</t>
        </is>
      </c>
      <c r="F91" s="37" t="inlineStr">
        <is>
          <t>Completed</t>
        </is>
      </c>
      <c r="G91" s="38" t="n">
        <v>25</v>
      </c>
      <c r="H91" s="37" t="inlineStr">
        <is>
          <t>Taylor Morgan</t>
        </is>
      </c>
    </row>
    <row r="92">
      <c r="A92" s="33" t="n">
        <v>46133.46944444445</v>
      </c>
      <c r="B92" s="34" t="inlineStr">
        <is>
          <t>Product Launch</t>
        </is>
      </c>
      <c r="C92" s="34" t="inlineStr">
        <is>
          <t>Email</t>
        </is>
      </c>
      <c r="D92" s="34" t="inlineStr">
        <is>
          <t>alex@example.com</t>
        </is>
      </c>
      <c r="E92" s="34" t="inlineStr">
        <is>
          <t>+1 555 3492</t>
        </is>
      </c>
      <c r="F92" s="34" t="inlineStr">
        <is>
          <t>Completed</t>
        </is>
      </c>
      <c r="G92" s="35" t="n">
        <v>43</v>
      </c>
      <c r="H92" s="34" t="inlineStr">
        <is>
          <t>Alexandra Rose</t>
        </is>
      </c>
    </row>
    <row r="93">
      <c r="A93" s="36" t="n">
        <v>46067.77083333334</v>
      </c>
      <c r="B93" s="37" t="inlineStr">
        <is>
          <t>Customer Survey</t>
        </is>
      </c>
      <c r="C93" s="37" t="inlineStr">
        <is>
          <t>Email</t>
        </is>
      </c>
      <c r="D93" s="37" t="inlineStr">
        <is>
          <t>+1 555 2310</t>
        </is>
      </c>
      <c r="E93" s="37" t="inlineStr">
        <is>
          <t>team@example.com</t>
        </is>
      </c>
      <c r="F93" s="37" t="inlineStr">
        <is>
          <t>Completed</t>
        </is>
      </c>
      <c r="G93" s="38" t="n">
        <v>27</v>
      </c>
      <c r="H93" s="37" t="inlineStr">
        <is>
          <t>Jordan Lee</t>
        </is>
      </c>
    </row>
    <row r="94">
      <c r="A94" s="33" t="n">
        <v>46285.46875</v>
      </c>
      <c r="B94" s="34" t="inlineStr">
        <is>
          <t>Newsletter</t>
        </is>
      </c>
      <c r="C94" s="34" t="inlineStr">
        <is>
          <t>SMS</t>
        </is>
      </c>
      <c r="D94" s="34" t="inlineStr">
        <is>
          <t>+1 555 1359</t>
        </is>
      </c>
      <c r="E94" s="34" t="inlineStr">
        <is>
          <t>+1 555 5630</t>
        </is>
      </c>
      <c r="F94" s="34" t="inlineStr">
        <is>
          <t>Failed</t>
        </is>
      </c>
      <c r="G94" s="35" t="n"/>
      <c r="H94" s="34" t="inlineStr">
        <is>
          <t>Riley Chen</t>
        </is>
      </c>
    </row>
    <row r="95">
      <c r="A95" s="36" t="n">
        <v>46228.77361111111</v>
      </c>
      <c r="B95" s="37" t="inlineStr">
        <is>
          <t>Product Launch</t>
        </is>
      </c>
      <c r="C95" s="37" t="inlineStr">
        <is>
          <t>SMS</t>
        </is>
      </c>
      <c r="D95" s="37" t="inlineStr">
        <is>
          <t>+1 555 2310</t>
        </is>
      </c>
      <c r="E95" s="37" t="inlineStr">
        <is>
          <t>team@example.com</t>
        </is>
      </c>
      <c r="F95" s="37" t="inlineStr">
        <is>
          <t>Completed</t>
        </is>
      </c>
      <c r="G95" s="38" t="n">
        <v>2</v>
      </c>
      <c r="H95" s="37" t="inlineStr">
        <is>
          <t>Taylor Morgan</t>
        </is>
      </c>
    </row>
    <row r="96">
      <c r="A96" s="33" t="n">
        <v>46173.64097222222</v>
      </c>
      <c r="B96" s="34" t="inlineStr">
        <is>
          <t>Product Launch</t>
        </is>
      </c>
      <c r="C96" s="34" t="inlineStr">
        <is>
          <t>SMS</t>
        </is>
      </c>
      <c r="D96" s="34" t="inlineStr">
        <is>
          <t>+1 555 1359</t>
        </is>
      </c>
      <c r="E96" s="34" t="inlineStr">
        <is>
          <t>+1 555 2409</t>
        </is>
      </c>
      <c r="F96" s="34" t="inlineStr">
        <is>
          <t>Completed</t>
        </is>
      </c>
      <c r="G96" s="35" t="n">
        <v>41</v>
      </c>
      <c r="H96" s="34" t="inlineStr">
        <is>
          <t>Riley Chen</t>
        </is>
      </c>
    </row>
    <row r="97">
      <c r="A97" s="36" t="n">
        <v>46158.73333333333</v>
      </c>
      <c r="B97" s="37" t="inlineStr">
        <is>
          <t>Renewal Reminder</t>
        </is>
      </c>
      <c r="C97" s="37" t="inlineStr">
        <is>
          <t>SMS</t>
        </is>
      </c>
      <c r="D97" s="37" t="inlineStr">
        <is>
          <t>+1 555 7642</t>
        </is>
      </c>
      <c r="E97" s="37" t="inlineStr">
        <is>
          <t>+1 555 2409</t>
        </is>
      </c>
      <c r="F97" s="37" t="inlineStr">
        <is>
          <t>Completed</t>
        </is>
      </c>
      <c r="G97" s="38" t="n">
        <v>21</v>
      </c>
      <c r="H97" s="37" t="inlineStr">
        <is>
          <t>Jordan Lee</t>
        </is>
      </c>
    </row>
    <row r="98">
      <c r="A98" s="33" t="n">
        <v>46111.48819444444</v>
      </c>
      <c r="B98" s="34" t="inlineStr">
        <is>
          <t>Customer Survey</t>
        </is>
      </c>
      <c r="C98" s="34" t="inlineStr">
        <is>
          <t>Call</t>
        </is>
      </c>
      <c r="D98" s="34" t="inlineStr">
        <is>
          <t>+1 555 2310</t>
        </is>
      </c>
      <c r="E98" s="34" t="inlineStr">
        <is>
          <t>+1 555 2409</t>
        </is>
      </c>
      <c r="F98" s="34" t="inlineStr">
        <is>
          <t>Completed</t>
        </is>
      </c>
      <c r="G98" s="35" t="n">
        <v>34</v>
      </c>
      <c r="H98" s="34" t="inlineStr">
        <is>
          <t>Jordan Lee</t>
        </is>
      </c>
    </row>
    <row r="99">
      <c r="A99" s="36" t="n">
        <v>46088.67291666667</v>
      </c>
      <c r="B99" s="37" t="inlineStr">
        <is>
          <t>Newsletter</t>
        </is>
      </c>
      <c r="C99" s="37" t="inlineStr">
        <is>
          <t>SMS</t>
        </is>
      </c>
      <c r="D99" s="37" t="inlineStr">
        <is>
          <t>+1 555 7642</t>
        </is>
      </c>
      <c r="E99" s="37" t="inlineStr">
        <is>
          <t>team@example.com</t>
        </is>
      </c>
      <c r="F99" s="37" t="inlineStr">
        <is>
          <t>Completed</t>
        </is>
      </c>
      <c r="G99" s="38" t="n">
        <v>14</v>
      </c>
      <c r="H99" s="37" t="inlineStr">
        <is>
          <t>Alexandra Rose</t>
        </is>
      </c>
    </row>
    <row r="100">
      <c r="A100" s="33" t="n">
        <v>46153.54513888889</v>
      </c>
      <c r="B100" s="34" t="inlineStr">
        <is>
          <t>Product Launch</t>
        </is>
      </c>
      <c r="C100" s="34" t="inlineStr">
        <is>
          <t>SMS</t>
        </is>
      </c>
      <c r="D100" s="34" t="inlineStr">
        <is>
          <t>+1 555 2310</t>
        </is>
      </c>
      <c r="E100" s="34" t="inlineStr">
        <is>
          <t>+1 555 5630</t>
        </is>
      </c>
      <c r="F100" s="34" t="inlineStr">
        <is>
          <t>Completed</t>
        </is>
      </c>
      <c r="G100" s="35" t="n">
        <v>16</v>
      </c>
      <c r="H100" s="34" t="inlineStr">
        <is>
          <t>Casey Patel</t>
        </is>
      </c>
    </row>
    <row r="101">
      <c r="A101" s="36" t="n">
        <v>46243.33541666667</v>
      </c>
      <c r="B101" s="37" t="inlineStr">
        <is>
          <t>Welcome Series</t>
        </is>
      </c>
      <c r="C101" s="37" t="inlineStr">
        <is>
          <t>Call</t>
        </is>
      </c>
      <c r="D101" s="37" t="inlineStr">
        <is>
          <t>alex@example.com</t>
        </is>
      </c>
      <c r="E101" s="37" t="inlineStr">
        <is>
          <t>+1 555 2409</t>
        </is>
      </c>
      <c r="F101" s="37" t="inlineStr">
        <is>
          <t>Completed</t>
        </is>
      </c>
      <c r="G101" s="38" t="n">
        <v>4</v>
      </c>
      <c r="H101" s="37" t="inlineStr">
        <is>
          <t>Taylor Morgan</t>
        </is>
      </c>
    </row>
    <row r="102">
      <c r="A102" s="33" t="n">
        <v>46292.61388888889</v>
      </c>
      <c r="B102" s="34" t="inlineStr">
        <is>
          <t>Newsletter</t>
        </is>
      </c>
      <c r="C102" s="34" t="inlineStr">
        <is>
          <t>Call</t>
        </is>
      </c>
      <c r="D102" s="34" t="inlineStr">
        <is>
          <t>+1 555 2310</t>
        </is>
      </c>
      <c r="E102" s="34" t="inlineStr">
        <is>
          <t>+1 555 3492</t>
        </is>
      </c>
      <c r="F102" s="34" t="inlineStr">
        <is>
          <t>Failed</t>
        </is>
      </c>
      <c r="G102" s="35" t="n"/>
      <c r="H102" s="34" t="inlineStr">
        <is>
          <t>Alexandra Rose</t>
        </is>
      </c>
    </row>
    <row r="103">
      <c r="A103" s="36" t="n">
        <v>46036.60486111111</v>
      </c>
      <c r="B103" s="37" t="inlineStr">
        <is>
          <t>Newsletter</t>
        </is>
      </c>
      <c r="C103" s="37" t="inlineStr">
        <is>
          <t>SMS</t>
        </is>
      </c>
      <c r="D103" s="37" t="inlineStr">
        <is>
          <t>+1 555 1359</t>
        </is>
      </c>
      <c r="E103" s="37" t="inlineStr">
        <is>
          <t>+1 555 5630</t>
        </is>
      </c>
      <c r="F103" s="37" t="inlineStr">
        <is>
          <t>Completed</t>
        </is>
      </c>
      <c r="G103" s="38" t="n">
        <v>44</v>
      </c>
      <c r="H103" s="37" t="inlineStr">
        <is>
          <t>Riley Chen</t>
        </is>
      </c>
    </row>
    <row r="104">
      <c r="A104" s="33" t="n">
        <v>46063.44444444445</v>
      </c>
      <c r="B104" s="34" t="inlineStr">
        <is>
          <t>Renewal Reminder</t>
        </is>
      </c>
      <c r="C104" s="34" t="inlineStr">
        <is>
          <t>SMS</t>
        </is>
      </c>
      <c r="D104" s="34" t="inlineStr">
        <is>
          <t>+1 555 1359</t>
        </is>
      </c>
      <c r="E104" s="34" t="inlineStr">
        <is>
          <t>+1 555 2409</t>
        </is>
      </c>
      <c r="F104" s="34" t="inlineStr">
        <is>
          <t>Completed</t>
        </is>
      </c>
      <c r="G104" s="35" t="n">
        <v>31</v>
      </c>
      <c r="H104" s="34" t="inlineStr">
        <is>
          <t>Taylor Morgan</t>
        </is>
      </c>
    </row>
    <row r="105">
      <c r="A105" s="36" t="n">
        <v>46060.45902777778</v>
      </c>
      <c r="B105" s="37" t="inlineStr">
        <is>
          <t>Product Launch</t>
        </is>
      </c>
      <c r="C105" s="37" t="inlineStr">
        <is>
          <t>Call</t>
        </is>
      </c>
      <c r="D105" s="37" t="inlineStr">
        <is>
          <t>alex@example.com</t>
        </is>
      </c>
      <c r="E105" s="37" t="inlineStr">
        <is>
          <t>+1 555 2409</t>
        </is>
      </c>
      <c r="F105" s="37" t="inlineStr">
        <is>
          <t>Completed</t>
        </is>
      </c>
      <c r="G105" s="38" t="n">
        <v>38</v>
      </c>
      <c r="H105" s="37" t="inlineStr">
        <is>
          <t>Taylor Morgan</t>
        </is>
      </c>
    </row>
    <row r="106">
      <c r="A106" s="33" t="n">
        <v>46128.57847222222</v>
      </c>
      <c r="B106" s="34" t="inlineStr">
        <is>
          <t>Customer Survey</t>
        </is>
      </c>
      <c r="C106" s="34" t="inlineStr">
        <is>
          <t>SMS</t>
        </is>
      </c>
      <c r="D106" s="34" t="inlineStr">
        <is>
          <t>alex@example.com</t>
        </is>
      </c>
      <c r="E106" s="34" t="inlineStr">
        <is>
          <t>+1 555 5630</t>
        </is>
      </c>
      <c r="F106" s="34" t="inlineStr">
        <is>
          <t>Completed</t>
        </is>
      </c>
      <c r="G106" s="35" t="n">
        <v>4</v>
      </c>
      <c r="H106" s="34" t="inlineStr">
        <is>
          <t>Jordan Lee</t>
        </is>
      </c>
    </row>
    <row r="107">
      <c r="A107" s="36" t="n">
        <v>46096.61666666667</v>
      </c>
      <c r="B107" s="37" t="inlineStr">
        <is>
          <t>Newsletter</t>
        </is>
      </c>
      <c r="C107" s="37" t="inlineStr">
        <is>
          <t>Call</t>
        </is>
      </c>
      <c r="D107" s="37" t="inlineStr">
        <is>
          <t>+1 555 1359</t>
        </is>
      </c>
      <c r="E107" s="37" t="inlineStr">
        <is>
          <t>+1 555 3492</t>
        </is>
      </c>
      <c r="F107" s="37" t="inlineStr">
        <is>
          <t>Completed</t>
        </is>
      </c>
      <c r="G107" s="38" t="n">
        <v>44</v>
      </c>
      <c r="H107" s="37" t="inlineStr">
        <is>
          <t>Jordan Lee</t>
        </is>
      </c>
    </row>
    <row r="108">
      <c r="A108" s="33" t="n">
        <v>46165.72986111111</v>
      </c>
      <c r="B108" s="34" t="inlineStr">
        <is>
          <t>Win-back Campaign</t>
        </is>
      </c>
      <c r="C108" s="34" t="inlineStr">
        <is>
          <t>Email</t>
        </is>
      </c>
      <c r="D108" s="34" t="inlineStr">
        <is>
          <t>+1 555 1359</t>
        </is>
      </c>
      <c r="E108" s="34" t="inlineStr">
        <is>
          <t>team@example.com</t>
        </is>
      </c>
      <c r="F108" s="34" t="inlineStr">
        <is>
          <t>Pending</t>
        </is>
      </c>
      <c r="G108" s="35" t="n">
        <v>94</v>
      </c>
      <c r="H108" s="34" t="inlineStr">
        <is>
          <t>Jordan Lee</t>
        </is>
      </c>
    </row>
    <row r="109">
      <c r="A109" s="36" t="n">
        <v>46149.63055555556</v>
      </c>
      <c r="B109" s="37" t="inlineStr">
        <is>
          <t>Customer Survey</t>
        </is>
      </c>
      <c r="C109" s="37" t="inlineStr">
        <is>
          <t>Call</t>
        </is>
      </c>
      <c r="D109" s="37" t="inlineStr">
        <is>
          <t>+1 555 0531</t>
        </is>
      </c>
      <c r="E109" s="37" t="inlineStr">
        <is>
          <t>+1 555 2409</t>
        </is>
      </c>
      <c r="F109" s="37" t="inlineStr">
        <is>
          <t>Completed</t>
        </is>
      </c>
      <c r="G109" s="38" t="n">
        <v>32</v>
      </c>
      <c r="H109" s="37" t="inlineStr">
        <is>
          <t>Casey Patel</t>
        </is>
      </c>
    </row>
    <row r="110">
      <c r="A110" s="33" t="n">
        <v>46110.77708333333</v>
      </c>
      <c r="B110" s="34" t="inlineStr">
        <is>
          <t>Win-back Campaign</t>
        </is>
      </c>
      <c r="C110" s="34" t="inlineStr">
        <is>
          <t>Email</t>
        </is>
      </c>
      <c r="D110" s="34" t="inlineStr">
        <is>
          <t>+1 555 0531</t>
        </is>
      </c>
      <c r="E110" s="34" t="inlineStr">
        <is>
          <t>+1 555 5630</t>
        </is>
      </c>
      <c r="F110" s="34" t="inlineStr">
        <is>
          <t>Completed</t>
        </is>
      </c>
      <c r="G110" s="35" t="n">
        <v>8</v>
      </c>
      <c r="H110" s="34" t="inlineStr">
        <is>
          <t>Jordan Lee</t>
        </is>
      </c>
    </row>
    <row r="111">
      <c r="A111" s="36" t="n">
        <v>46287.37083333333</v>
      </c>
      <c r="B111" s="37" t="inlineStr">
        <is>
          <t>Product Launch</t>
        </is>
      </c>
      <c r="C111" s="37" t="inlineStr">
        <is>
          <t>SMS</t>
        </is>
      </c>
      <c r="D111" s="37" t="inlineStr">
        <is>
          <t>+1 555 1359</t>
        </is>
      </c>
      <c r="E111" s="37" t="inlineStr">
        <is>
          <t>+1 555 3492</t>
        </is>
      </c>
      <c r="F111" s="37" t="inlineStr">
        <is>
          <t>Pending</t>
        </is>
      </c>
      <c r="G111" s="38" t="n">
        <v>119</v>
      </c>
      <c r="H111" s="37" t="inlineStr">
        <is>
          <t>Taylor Morgan</t>
        </is>
      </c>
    </row>
    <row r="112">
      <c r="A112" s="33" t="n">
        <v>46051.51666666667</v>
      </c>
      <c r="B112" s="34" t="inlineStr">
        <is>
          <t>Welcome Series</t>
        </is>
      </c>
      <c r="C112" s="34" t="inlineStr">
        <is>
          <t>Email</t>
        </is>
      </c>
      <c r="D112" s="34" t="inlineStr">
        <is>
          <t>client@example.com</t>
        </is>
      </c>
      <c r="E112" s="34" t="inlineStr">
        <is>
          <t>+1 555 3492</t>
        </is>
      </c>
      <c r="F112" s="34" t="inlineStr">
        <is>
          <t>Failed</t>
        </is>
      </c>
      <c r="G112" s="35" t="n"/>
      <c r="H112" s="34" t="inlineStr">
        <is>
          <t>Riley Chen</t>
        </is>
      </c>
    </row>
    <row r="113">
      <c r="A113" s="36" t="n">
        <v>46275.52361111111</v>
      </c>
      <c r="B113" s="37" t="inlineStr">
        <is>
          <t>Renewal Reminder</t>
        </is>
      </c>
      <c r="C113" s="37" t="inlineStr">
        <is>
          <t>Call</t>
        </is>
      </c>
      <c r="D113" s="37" t="inlineStr">
        <is>
          <t>+1 555 0531</t>
        </is>
      </c>
      <c r="E113" s="37" t="inlineStr">
        <is>
          <t>+1 555 2409</t>
        </is>
      </c>
      <c r="F113" s="37" t="inlineStr">
        <is>
          <t>Completed</t>
        </is>
      </c>
      <c r="G113" s="38" t="n">
        <v>16</v>
      </c>
      <c r="H113" s="37" t="inlineStr">
        <is>
          <t>Riley Chen</t>
        </is>
      </c>
    </row>
    <row r="114">
      <c r="A114" s="33" t="n">
        <v>46289.53888888889</v>
      </c>
      <c r="B114" s="34" t="inlineStr">
        <is>
          <t>Customer Survey</t>
        </is>
      </c>
      <c r="C114" s="34" t="inlineStr">
        <is>
          <t>Email</t>
        </is>
      </c>
      <c r="D114" s="34" t="inlineStr">
        <is>
          <t>+1 555 7642</t>
        </is>
      </c>
      <c r="E114" s="34" t="inlineStr">
        <is>
          <t>+1 555 5630</t>
        </is>
      </c>
      <c r="F114" s="34" t="inlineStr">
        <is>
          <t>Completed</t>
        </is>
      </c>
      <c r="G114" s="35" t="n">
        <v>32</v>
      </c>
      <c r="H114" s="34" t="inlineStr">
        <is>
          <t>Alexandra Rose</t>
        </is>
      </c>
    </row>
    <row r="115">
      <c r="A115" s="36" t="n">
        <v>46148.66319444445</v>
      </c>
      <c r="B115" s="37" t="inlineStr">
        <is>
          <t>Welcome Series</t>
        </is>
      </c>
      <c r="C115" s="37" t="inlineStr">
        <is>
          <t>Email</t>
        </is>
      </c>
      <c r="D115" s="37" t="inlineStr">
        <is>
          <t>+1 555 2310</t>
        </is>
      </c>
      <c r="E115" s="37" t="inlineStr">
        <is>
          <t>team@example.com</t>
        </is>
      </c>
      <c r="F115" s="37" t="inlineStr">
        <is>
          <t>Completed</t>
        </is>
      </c>
      <c r="G115" s="38" t="n">
        <v>4</v>
      </c>
      <c r="H115" s="37" t="inlineStr">
        <is>
          <t>Riley Chen</t>
        </is>
      </c>
    </row>
    <row r="116">
      <c r="A116" s="33" t="n">
        <v>46215.45555555556</v>
      </c>
      <c r="B116" s="34" t="inlineStr">
        <is>
          <t>Customer Survey</t>
        </is>
      </c>
      <c r="C116" s="34" t="inlineStr">
        <is>
          <t>Email</t>
        </is>
      </c>
      <c r="D116" s="34" t="inlineStr">
        <is>
          <t>+1 555 1359</t>
        </is>
      </c>
      <c r="E116" s="34" t="inlineStr">
        <is>
          <t>+1 555 2409</t>
        </is>
      </c>
      <c r="F116" s="34" t="inlineStr">
        <is>
          <t>Completed</t>
        </is>
      </c>
      <c r="G116" s="35" t="n">
        <v>35</v>
      </c>
      <c r="H116" s="34" t="inlineStr">
        <is>
          <t>Riley Chen</t>
        </is>
      </c>
    </row>
    <row r="117">
      <c r="A117" s="36" t="n">
        <v>46291.62430555555</v>
      </c>
      <c r="B117" s="37" t="inlineStr">
        <is>
          <t>Customer Survey</t>
        </is>
      </c>
      <c r="C117" s="37" t="inlineStr">
        <is>
          <t>Call</t>
        </is>
      </c>
      <c r="D117" s="37" t="inlineStr">
        <is>
          <t>client@example.com</t>
        </is>
      </c>
      <c r="E117" s="37" t="inlineStr">
        <is>
          <t>team@example.com</t>
        </is>
      </c>
      <c r="F117" s="37" t="inlineStr">
        <is>
          <t>Completed</t>
        </is>
      </c>
      <c r="G117" s="38" t="n">
        <v>23</v>
      </c>
      <c r="H117" s="37" t="inlineStr">
        <is>
          <t>Alexandra Rose</t>
        </is>
      </c>
    </row>
    <row r="118">
      <c r="A118" s="33" t="n">
        <v>46180.6</v>
      </c>
      <c r="B118" s="34" t="inlineStr">
        <is>
          <t>Newsletter</t>
        </is>
      </c>
      <c r="C118" s="34" t="inlineStr">
        <is>
          <t>SMS</t>
        </is>
      </c>
      <c r="D118" s="34" t="inlineStr">
        <is>
          <t>client@example.com</t>
        </is>
      </c>
      <c r="E118" s="34" t="inlineStr">
        <is>
          <t>team@example.com</t>
        </is>
      </c>
      <c r="F118" s="34" t="inlineStr">
        <is>
          <t>Completed</t>
        </is>
      </c>
      <c r="G118" s="35" t="n">
        <v>11</v>
      </c>
      <c r="H118" s="34" t="inlineStr">
        <is>
          <t>Jordan Lee</t>
        </is>
      </c>
    </row>
    <row r="119">
      <c r="A119" s="36" t="n">
        <v>46139.60555555556</v>
      </c>
      <c r="B119" s="37" t="inlineStr">
        <is>
          <t>Welcome Series</t>
        </is>
      </c>
      <c r="C119" s="37" t="inlineStr">
        <is>
          <t>SMS</t>
        </is>
      </c>
      <c r="D119" s="37" t="inlineStr">
        <is>
          <t>+1 555 2310</t>
        </is>
      </c>
      <c r="E119" s="37" t="inlineStr">
        <is>
          <t>+1 555 5630</t>
        </is>
      </c>
      <c r="F119" s="37" t="inlineStr">
        <is>
          <t>Completed</t>
        </is>
      </c>
      <c r="G119" s="38" t="n">
        <v>6</v>
      </c>
      <c r="H119" s="37" t="inlineStr">
        <is>
          <t>Jordan Lee</t>
        </is>
      </c>
    </row>
    <row r="120">
      <c r="A120" s="33" t="n">
        <v>46197.67916666667</v>
      </c>
      <c r="B120" s="34" t="inlineStr">
        <is>
          <t>Win-back Campaign</t>
        </is>
      </c>
      <c r="C120" s="34" t="inlineStr">
        <is>
          <t>SMS</t>
        </is>
      </c>
      <c r="D120" s="34" t="inlineStr">
        <is>
          <t>+1 555 1359</t>
        </is>
      </c>
      <c r="E120" s="34" t="inlineStr">
        <is>
          <t>client@example.com</t>
        </is>
      </c>
      <c r="F120" s="34" t="inlineStr">
        <is>
          <t>Completed</t>
        </is>
      </c>
      <c r="G120" s="35" t="n">
        <v>13</v>
      </c>
      <c r="H120" s="34" t="inlineStr">
        <is>
          <t>Riley Chen</t>
        </is>
      </c>
    </row>
    <row r="121">
      <c r="A121" s="36" t="n">
        <v>46073.58333333334</v>
      </c>
      <c r="B121" s="37" t="inlineStr">
        <is>
          <t>Newsletter</t>
        </is>
      </c>
      <c r="C121" s="37" t="inlineStr">
        <is>
          <t>Email</t>
        </is>
      </c>
      <c r="D121" s="37" t="inlineStr">
        <is>
          <t>client@example.com</t>
        </is>
      </c>
      <c r="E121" s="37" t="inlineStr">
        <is>
          <t>client@example.com</t>
        </is>
      </c>
      <c r="F121" s="37" t="inlineStr">
        <is>
          <t>Completed</t>
        </is>
      </c>
      <c r="G121" s="38" t="n">
        <v>36</v>
      </c>
      <c r="H121" s="37" t="inlineStr">
        <is>
          <t>Casey Patel</t>
        </is>
      </c>
    </row>
    <row r="122">
      <c r="A122" s="33" t="n">
        <v>46097.59652777778</v>
      </c>
      <c r="B122" s="34" t="inlineStr">
        <is>
          <t>Newsletter</t>
        </is>
      </c>
      <c r="C122" s="34" t="inlineStr">
        <is>
          <t>SMS</t>
        </is>
      </c>
      <c r="D122" s="34" t="inlineStr">
        <is>
          <t>+1 555 1359</t>
        </is>
      </c>
      <c r="E122" s="34" t="inlineStr">
        <is>
          <t>+1 555 5630</t>
        </is>
      </c>
      <c r="F122" s="34" t="inlineStr">
        <is>
          <t>Failed</t>
        </is>
      </c>
      <c r="G122" s="35" t="n"/>
      <c r="H122" s="34" t="inlineStr">
        <is>
          <t>Riley Chen</t>
        </is>
      </c>
    </row>
    <row r="123">
      <c r="A123" s="36" t="n">
        <v>46050.39305555556</v>
      </c>
      <c r="B123" s="37" t="inlineStr">
        <is>
          <t>Product Launch</t>
        </is>
      </c>
      <c r="C123" s="37" t="inlineStr">
        <is>
          <t>SMS</t>
        </is>
      </c>
      <c r="D123" s="37" t="inlineStr">
        <is>
          <t>+1 555 2310</t>
        </is>
      </c>
      <c r="E123" s="37" t="inlineStr">
        <is>
          <t>client@example.com</t>
        </is>
      </c>
      <c r="F123" s="37" t="inlineStr">
        <is>
          <t>Completed</t>
        </is>
      </c>
      <c r="G123" s="38" t="n">
        <v>35</v>
      </c>
      <c r="H123" s="37" t="inlineStr">
        <is>
          <t>Jordan Lee</t>
        </is>
      </c>
    </row>
    <row r="124">
      <c r="A124" s="33" t="n">
        <v>46244.48194444444</v>
      </c>
      <c r="B124" s="34" t="inlineStr">
        <is>
          <t>Customer Survey</t>
        </is>
      </c>
      <c r="C124" s="34" t="inlineStr">
        <is>
          <t>Email</t>
        </is>
      </c>
      <c r="D124" s="34" t="inlineStr">
        <is>
          <t>+1 555 1359</t>
        </is>
      </c>
      <c r="E124" s="34" t="inlineStr">
        <is>
          <t>+1 555 3492</t>
        </is>
      </c>
      <c r="F124" s="34" t="inlineStr">
        <is>
          <t>Completed</t>
        </is>
      </c>
      <c r="G124" s="35" t="n">
        <v>37</v>
      </c>
      <c r="H124" s="34" t="inlineStr">
        <is>
          <t>Jordan Lee</t>
        </is>
      </c>
    </row>
    <row r="125">
      <c r="A125" s="36" t="n">
        <v>46105.77013888889</v>
      </c>
      <c r="B125" s="37" t="inlineStr">
        <is>
          <t>Newsletter</t>
        </is>
      </c>
      <c r="C125" s="37" t="inlineStr">
        <is>
          <t>Email</t>
        </is>
      </c>
      <c r="D125" s="37" t="inlineStr">
        <is>
          <t>client@example.com</t>
        </is>
      </c>
      <c r="E125" s="37" t="inlineStr">
        <is>
          <t>+1 555 5630</t>
        </is>
      </c>
      <c r="F125" s="37" t="inlineStr">
        <is>
          <t>Completed</t>
        </is>
      </c>
      <c r="G125" s="38" t="n">
        <v>44</v>
      </c>
      <c r="H125" s="37" t="inlineStr">
        <is>
          <t>Taylor Morgan</t>
        </is>
      </c>
    </row>
    <row r="126">
      <c r="A126" s="33" t="n">
        <v>46167.74652777778</v>
      </c>
      <c r="B126" s="34" t="inlineStr">
        <is>
          <t>Win-back Campaign</t>
        </is>
      </c>
      <c r="C126" s="34" t="inlineStr">
        <is>
          <t>SMS</t>
        </is>
      </c>
      <c r="D126" s="34" t="inlineStr">
        <is>
          <t>+1 555 0531</t>
        </is>
      </c>
      <c r="E126" s="34" t="inlineStr">
        <is>
          <t>+1 555 5630</t>
        </is>
      </c>
      <c r="F126" s="34" t="inlineStr">
        <is>
          <t>Failed</t>
        </is>
      </c>
      <c r="G126" s="35" t="n"/>
      <c r="H126" s="34" t="inlineStr">
        <is>
          <t>Riley Chen</t>
        </is>
      </c>
    </row>
    <row r="127">
      <c r="A127" s="36" t="n">
        <v>46222.65902777778</v>
      </c>
      <c r="B127" s="37" t="inlineStr">
        <is>
          <t>Renewal Reminder</t>
        </is>
      </c>
      <c r="C127" s="37" t="inlineStr">
        <is>
          <t>SMS</t>
        </is>
      </c>
      <c r="D127" s="37" t="inlineStr">
        <is>
          <t>+1 555 2310</t>
        </is>
      </c>
      <c r="E127" s="37" t="inlineStr">
        <is>
          <t>client@example.com</t>
        </is>
      </c>
      <c r="F127" s="37" t="inlineStr">
        <is>
          <t>Pending</t>
        </is>
      </c>
      <c r="G127" s="38" t="n">
        <v>38</v>
      </c>
      <c r="H127" s="37" t="inlineStr">
        <is>
          <t>Casey Patel</t>
        </is>
      </c>
    </row>
    <row r="128">
      <c r="A128" s="33" t="n">
        <v>46124.34513888889</v>
      </c>
      <c r="B128" s="34" t="inlineStr">
        <is>
          <t>Newsletter</t>
        </is>
      </c>
      <c r="C128" s="34" t="inlineStr">
        <is>
          <t>Email</t>
        </is>
      </c>
      <c r="D128" s="34" t="inlineStr">
        <is>
          <t>+1 555 0531</t>
        </is>
      </c>
      <c r="E128" s="34" t="inlineStr">
        <is>
          <t>client@example.com</t>
        </is>
      </c>
      <c r="F128" s="34" t="inlineStr">
        <is>
          <t>Pending</t>
        </is>
      </c>
      <c r="G128" s="35" t="n">
        <v>58</v>
      </c>
      <c r="H128" s="34" t="inlineStr">
        <is>
          <t>Jordan Lee</t>
        </is>
      </c>
    </row>
    <row r="129">
      <c r="A129" s="36" t="n">
        <v>46169.48680555556</v>
      </c>
      <c r="B129" s="37" t="inlineStr">
        <is>
          <t>Welcome Series</t>
        </is>
      </c>
      <c r="C129" s="37" t="inlineStr">
        <is>
          <t>Email</t>
        </is>
      </c>
      <c r="D129" s="37" t="inlineStr">
        <is>
          <t>alex@example.com</t>
        </is>
      </c>
      <c r="E129" s="37" t="inlineStr">
        <is>
          <t>+1 555 3492</t>
        </is>
      </c>
      <c r="F129" s="37" t="inlineStr">
        <is>
          <t>Completed</t>
        </is>
      </c>
      <c r="G129" s="38" t="n">
        <v>13</v>
      </c>
      <c r="H129" s="37" t="inlineStr">
        <is>
          <t>Riley Chen</t>
        </is>
      </c>
    </row>
    <row r="130">
      <c r="A130" s="33" t="n">
        <v>46262.53680555556</v>
      </c>
      <c r="B130" s="34" t="inlineStr">
        <is>
          <t>Product Launch</t>
        </is>
      </c>
      <c r="C130" s="34" t="inlineStr">
        <is>
          <t>Email</t>
        </is>
      </c>
      <c r="D130" s="34" t="inlineStr">
        <is>
          <t>alex@example.com</t>
        </is>
      </c>
      <c r="E130" s="34" t="inlineStr">
        <is>
          <t>client@example.com</t>
        </is>
      </c>
      <c r="F130" s="34" t="inlineStr">
        <is>
          <t>Completed</t>
        </is>
      </c>
      <c r="G130" s="35" t="n">
        <v>43</v>
      </c>
      <c r="H130" s="34" t="inlineStr">
        <is>
          <t>Casey Patel</t>
        </is>
      </c>
    </row>
    <row r="131">
      <c r="A131" s="36" t="n">
        <v>46035.7625</v>
      </c>
      <c r="B131" s="37" t="inlineStr">
        <is>
          <t>Win-back Campaign</t>
        </is>
      </c>
      <c r="C131" s="37" t="inlineStr">
        <is>
          <t>Call</t>
        </is>
      </c>
      <c r="D131" s="37" t="inlineStr">
        <is>
          <t>+1 555 1359</t>
        </is>
      </c>
      <c r="E131" s="37" t="inlineStr">
        <is>
          <t>client@example.com</t>
        </is>
      </c>
      <c r="F131" s="37" t="inlineStr">
        <is>
          <t>Completed</t>
        </is>
      </c>
      <c r="G131" s="38" t="n">
        <v>38</v>
      </c>
      <c r="H131" s="37" t="inlineStr">
        <is>
          <t>Alexandra Rose</t>
        </is>
      </c>
    </row>
    <row r="132">
      <c r="A132" s="33" t="n">
        <v>46149.64097222222</v>
      </c>
      <c r="B132" s="34" t="inlineStr">
        <is>
          <t>Welcome Series</t>
        </is>
      </c>
      <c r="C132" s="34" t="inlineStr">
        <is>
          <t>SMS</t>
        </is>
      </c>
      <c r="D132" s="34" t="inlineStr">
        <is>
          <t>client@example.com</t>
        </is>
      </c>
      <c r="E132" s="34" t="inlineStr">
        <is>
          <t>+1 555 2409</t>
        </is>
      </c>
      <c r="F132" s="34" t="inlineStr">
        <is>
          <t>Completed</t>
        </is>
      </c>
      <c r="G132" s="35" t="n">
        <v>31</v>
      </c>
      <c r="H132" s="34" t="inlineStr">
        <is>
          <t>Jordan Lee</t>
        </is>
      </c>
    </row>
    <row r="133">
      <c r="A133" s="36" t="n">
        <v>46048.37847222222</v>
      </c>
      <c r="B133" s="37" t="inlineStr">
        <is>
          <t>Welcome Series</t>
        </is>
      </c>
      <c r="C133" s="37" t="inlineStr">
        <is>
          <t>Email</t>
        </is>
      </c>
      <c r="D133" s="37" t="inlineStr">
        <is>
          <t>alex@example.com</t>
        </is>
      </c>
      <c r="E133" s="37" t="inlineStr">
        <is>
          <t>client@example.com</t>
        </is>
      </c>
      <c r="F133" s="37" t="inlineStr">
        <is>
          <t>Completed</t>
        </is>
      </c>
      <c r="G133" s="38" t="n">
        <v>30</v>
      </c>
      <c r="H133" s="37" t="inlineStr">
        <is>
          <t>Taylor Morgan</t>
        </is>
      </c>
    </row>
    <row r="134">
      <c r="A134" s="33" t="n">
        <v>46262.52708333333</v>
      </c>
      <c r="B134" s="34" t="inlineStr">
        <is>
          <t>Customer Survey</t>
        </is>
      </c>
      <c r="C134" s="34" t="inlineStr">
        <is>
          <t>SMS</t>
        </is>
      </c>
      <c r="D134" s="34" t="inlineStr">
        <is>
          <t>+1 555 0531</t>
        </is>
      </c>
      <c r="E134" s="34" t="inlineStr">
        <is>
          <t>+1 555 3492</t>
        </is>
      </c>
      <c r="F134" s="34" t="inlineStr">
        <is>
          <t>Completed</t>
        </is>
      </c>
      <c r="G134" s="35" t="n">
        <v>17</v>
      </c>
      <c r="H134" s="34" t="inlineStr">
        <is>
          <t>Taylor Morgan</t>
        </is>
      </c>
    </row>
    <row r="135">
      <c r="A135" s="36" t="n">
        <v>46243.59444444445</v>
      </c>
      <c r="B135" s="37" t="inlineStr">
        <is>
          <t>Win-back Campaign</t>
        </is>
      </c>
      <c r="C135" s="37" t="inlineStr">
        <is>
          <t>SMS</t>
        </is>
      </c>
      <c r="D135" s="37" t="inlineStr">
        <is>
          <t>+1 555 2310</t>
        </is>
      </c>
      <c r="E135" s="37" t="inlineStr">
        <is>
          <t>team@example.com</t>
        </is>
      </c>
      <c r="F135" s="37" t="inlineStr">
        <is>
          <t>Completed</t>
        </is>
      </c>
      <c r="G135" s="38" t="n">
        <v>3</v>
      </c>
      <c r="H135" s="37" t="inlineStr">
        <is>
          <t>Riley Chen</t>
        </is>
      </c>
    </row>
    <row r="136">
      <c r="A136" s="33" t="n">
        <v>46028.43680555555</v>
      </c>
      <c r="B136" s="34" t="inlineStr">
        <is>
          <t>Welcome Series</t>
        </is>
      </c>
      <c r="C136" s="34" t="inlineStr">
        <is>
          <t>SMS</t>
        </is>
      </c>
      <c r="D136" s="34" t="inlineStr">
        <is>
          <t>client@example.com</t>
        </is>
      </c>
      <c r="E136" s="34" t="inlineStr">
        <is>
          <t>+1 555 5630</t>
        </is>
      </c>
      <c r="F136" s="34" t="inlineStr">
        <is>
          <t>Completed</t>
        </is>
      </c>
      <c r="G136" s="35" t="n">
        <v>29</v>
      </c>
      <c r="H136" s="34" t="inlineStr">
        <is>
          <t>Riley Chen</t>
        </is>
      </c>
    </row>
    <row r="137">
      <c r="A137" s="36" t="n">
        <v>46137.47291666667</v>
      </c>
      <c r="B137" s="37" t="inlineStr">
        <is>
          <t>Renewal Reminder</t>
        </is>
      </c>
      <c r="C137" s="37" t="inlineStr">
        <is>
          <t>SMS</t>
        </is>
      </c>
      <c r="D137" s="37" t="inlineStr">
        <is>
          <t>alex@example.com</t>
        </is>
      </c>
      <c r="E137" s="37" t="inlineStr">
        <is>
          <t>+1 555 5630</t>
        </is>
      </c>
      <c r="F137" s="37" t="inlineStr">
        <is>
          <t>Completed</t>
        </is>
      </c>
      <c r="G137" s="38" t="n">
        <v>23</v>
      </c>
      <c r="H137" s="37" t="inlineStr">
        <is>
          <t>Casey Patel</t>
        </is>
      </c>
    </row>
    <row r="138">
      <c r="A138" s="33" t="n">
        <v>46244.55555555555</v>
      </c>
      <c r="B138" s="34" t="inlineStr">
        <is>
          <t>Renewal Reminder</t>
        </is>
      </c>
      <c r="C138" s="34" t="inlineStr">
        <is>
          <t>SMS</t>
        </is>
      </c>
      <c r="D138" s="34" t="inlineStr">
        <is>
          <t>+1 555 0531</t>
        </is>
      </c>
      <c r="E138" s="34" t="inlineStr">
        <is>
          <t>client@example.com</t>
        </is>
      </c>
      <c r="F138" s="34" t="inlineStr">
        <is>
          <t>Completed</t>
        </is>
      </c>
      <c r="G138" s="35" t="n">
        <v>45</v>
      </c>
      <c r="H138" s="34" t="inlineStr">
        <is>
          <t>Casey Patel</t>
        </is>
      </c>
    </row>
    <row r="139">
      <c r="A139" s="36" t="n">
        <v>46162.51944444444</v>
      </c>
      <c r="B139" s="37" t="inlineStr">
        <is>
          <t>Newsletter</t>
        </is>
      </c>
      <c r="C139" s="37" t="inlineStr">
        <is>
          <t>Email</t>
        </is>
      </c>
      <c r="D139" s="37" t="inlineStr">
        <is>
          <t>+1 555 2310</t>
        </is>
      </c>
      <c r="E139" s="37" t="inlineStr">
        <is>
          <t>+1 555 2409</t>
        </is>
      </c>
      <c r="F139" s="37" t="inlineStr">
        <is>
          <t>Pending</t>
        </is>
      </c>
      <c r="G139" s="38" t="n">
        <v>60</v>
      </c>
      <c r="H139" s="37" t="inlineStr">
        <is>
          <t>Casey Patel</t>
        </is>
      </c>
    </row>
    <row r="140">
      <c r="A140" s="33" t="n">
        <v>46064.49375</v>
      </c>
      <c r="B140" s="34" t="inlineStr">
        <is>
          <t>Renewal Reminder</t>
        </is>
      </c>
      <c r="C140" s="34" t="inlineStr">
        <is>
          <t>SMS</t>
        </is>
      </c>
      <c r="D140" s="34" t="inlineStr">
        <is>
          <t>alex@example.com</t>
        </is>
      </c>
      <c r="E140" s="34" t="inlineStr">
        <is>
          <t>client@example.com</t>
        </is>
      </c>
      <c r="F140" s="34" t="inlineStr">
        <is>
          <t>Completed</t>
        </is>
      </c>
      <c r="G140" s="35" t="n">
        <v>17</v>
      </c>
      <c r="H140" s="34" t="inlineStr">
        <is>
          <t>Riley Chen</t>
        </is>
      </c>
    </row>
    <row r="141">
      <c r="A141" s="36" t="n">
        <v>46180.41458333333</v>
      </c>
      <c r="B141" s="37" t="inlineStr">
        <is>
          <t>Win-back Campaign</t>
        </is>
      </c>
      <c r="C141" s="37" t="inlineStr">
        <is>
          <t>Email</t>
        </is>
      </c>
      <c r="D141" s="37" t="inlineStr">
        <is>
          <t>+1 555 7642</t>
        </is>
      </c>
      <c r="E141" s="37" t="inlineStr">
        <is>
          <t>+1 555 2409</t>
        </is>
      </c>
      <c r="F141" s="37" t="inlineStr">
        <is>
          <t>Pending</t>
        </is>
      </c>
      <c r="G141" s="38" t="n">
        <v>38</v>
      </c>
      <c r="H141" s="37" t="inlineStr">
        <is>
          <t>Casey Patel</t>
        </is>
      </c>
    </row>
    <row r="142">
      <c r="A142" s="33" t="n">
        <v>46032.69791666666</v>
      </c>
      <c r="B142" s="34" t="inlineStr">
        <is>
          <t>Customer Survey</t>
        </is>
      </c>
      <c r="C142" s="34" t="inlineStr">
        <is>
          <t>Email</t>
        </is>
      </c>
      <c r="D142" s="34" t="inlineStr">
        <is>
          <t>+1 555 0531</t>
        </is>
      </c>
      <c r="E142" s="34" t="inlineStr">
        <is>
          <t>+1 555 3492</t>
        </is>
      </c>
      <c r="F142" s="34" t="inlineStr">
        <is>
          <t>Failed</t>
        </is>
      </c>
      <c r="G142" s="35" t="n"/>
      <c r="H142" s="34" t="inlineStr">
        <is>
          <t>Casey Patel</t>
        </is>
      </c>
    </row>
    <row r="143">
      <c r="A143" s="36" t="n">
        <v>46104.34305555555</v>
      </c>
      <c r="B143" s="37" t="inlineStr">
        <is>
          <t>Newsletter</t>
        </is>
      </c>
      <c r="C143" s="37" t="inlineStr">
        <is>
          <t>Email</t>
        </is>
      </c>
      <c r="D143" s="37" t="inlineStr">
        <is>
          <t>+1 555 0531</t>
        </is>
      </c>
      <c r="E143" s="37" t="inlineStr">
        <is>
          <t>client@example.com</t>
        </is>
      </c>
      <c r="F143" s="37" t="inlineStr">
        <is>
          <t>Failed</t>
        </is>
      </c>
      <c r="G143" s="38" t="n"/>
      <c r="H143" s="37" t="inlineStr">
        <is>
          <t>Casey Patel</t>
        </is>
      </c>
    </row>
    <row r="144">
      <c r="A144" s="33" t="n">
        <v>46240.74027777778</v>
      </c>
      <c r="B144" s="34" t="inlineStr">
        <is>
          <t>Win-back Campaign</t>
        </is>
      </c>
      <c r="C144" s="34" t="inlineStr">
        <is>
          <t>Email</t>
        </is>
      </c>
      <c r="D144" s="34" t="inlineStr">
        <is>
          <t>+1 555 7642</t>
        </is>
      </c>
      <c r="E144" s="34" t="inlineStr">
        <is>
          <t>+1 555 2409</t>
        </is>
      </c>
      <c r="F144" s="34" t="inlineStr">
        <is>
          <t>Completed</t>
        </is>
      </c>
      <c r="G144" s="35" t="n">
        <v>28</v>
      </c>
      <c r="H144" s="34" t="inlineStr">
        <is>
          <t>Taylor Morgan</t>
        </is>
      </c>
    </row>
    <row r="145">
      <c r="A145" s="36" t="n">
        <v>46148.76041666666</v>
      </c>
      <c r="B145" s="37" t="inlineStr">
        <is>
          <t>Newsletter</t>
        </is>
      </c>
      <c r="C145" s="37" t="inlineStr">
        <is>
          <t>Call</t>
        </is>
      </c>
      <c r="D145" s="37" t="inlineStr">
        <is>
          <t>+1 555 2310</t>
        </is>
      </c>
      <c r="E145" s="37" t="inlineStr">
        <is>
          <t>client@example.com</t>
        </is>
      </c>
      <c r="F145" s="37" t="inlineStr">
        <is>
          <t>Completed</t>
        </is>
      </c>
      <c r="G145" s="38" t="n">
        <v>34</v>
      </c>
      <c r="H145" s="37" t="inlineStr">
        <is>
          <t>Riley Chen</t>
        </is>
      </c>
    </row>
    <row r="146">
      <c r="A146" s="33" t="n">
        <v>46235.50208333333</v>
      </c>
      <c r="B146" s="34" t="inlineStr">
        <is>
          <t>Newsletter</t>
        </is>
      </c>
      <c r="C146" s="34" t="inlineStr">
        <is>
          <t>Call</t>
        </is>
      </c>
      <c r="D146" s="34" t="inlineStr">
        <is>
          <t>+1 555 1359</t>
        </is>
      </c>
      <c r="E146" s="34" t="inlineStr">
        <is>
          <t>+1 555 5630</t>
        </is>
      </c>
      <c r="F146" s="34" t="inlineStr">
        <is>
          <t>Completed</t>
        </is>
      </c>
      <c r="G146" s="35" t="n">
        <v>2</v>
      </c>
      <c r="H146" s="34" t="inlineStr">
        <is>
          <t>Alexandra Rose</t>
        </is>
      </c>
    </row>
    <row r="147">
      <c r="A147" s="36" t="n">
        <v>46061.49444444444</v>
      </c>
      <c r="B147" s="37" t="inlineStr">
        <is>
          <t>Customer Survey</t>
        </is>
      </c>
      <c r="C147" s="37" t="inlineStr">
        <is>
          <t>Call</t>
        </is>
      </c>
      <c r="D147" s="37" t="inlineStr">
        <is>
          <t>+1 555 0531</t>
        </is>
      </c>
      <c r="E147" s="37" t="inlineStr">
        <is>
          <t>client@example.com</t>
        </is>
      </c>
      <c r="F147" s="37" t="inlineStr">
        <is>
          <t>Completed</t>
        </is>
      </c>
      <c r="G147" s="38" t="n">
        <v>31</v>
      </c>
      <c r="H147" s="37" t="inlineStr">
        <is>
          <t>Taylor Morgan</t>
        </is>
      </c>
    </row>
    <row r="148">
      <c r="A148" s="33" t="n">
        <v>46240.42916666667</v>
      </c>
      <c r="B148" s="34" t="inlineStr">
        <is>
          <t>Renewal Reminder</t>
        </is>
      </c>
      <c r="C148" s="34" t="inlineStr">
        <is>
          <t>SMS</t>
        </is>
      </c>
      <c r="D148" s="34" t="inlineStr">
        <is>
          <t>+1 555 1359</t>
        </is>
      </c>
      <c r="E148" s="34" t="inlineStr">
        <is>
          <t>+1 555 2409</t>
        </is>
      </c>
      <c r="F148" s="34" t="inlineStr">
        <is>
          <t>Completed</t>
        </is>
      </c>
      <c r="G148" s="35" t="n">
        <v>35</v>
      </c>
      <c r="H148" s="34" t="inlineStr">
        <is>
          <t>Alexandra Rose</t>
        </is>
      </c>
    </row>
    <row r="149">
      <c r="A149" s="36" t="n">
        <v>46108.41597222222</v>
      </c>
      <c r="B149" s="37" t="inlineStr">
        <is>
          <t>Customer Survey</t>
        </is>
      </c>
      <c r="C149" s="37" t="inlineStr">
        <is>
          <t>Email</t>
        </is>
      </c>
      <c r="D149" s="37" t="inlineStr">
        <is>
          <t>+1 555 7642</t>
        </is>
      </c>
      <c r="E149" s="37" t="inlineStr">
        <is>
          <t>+1 555 3492</t>
        </is>
      </c>
      <c r="F149" s="37" t="inlineStr">
        <is>
          <t>Completed</t>
        </is>
      </c>
      <c r="G149" s="38" t="n">
        <v>27</v>
      </c>
      <c r="H149" s="37" t="inlineStr">
        <is>
          <t>Alexandra Rose</t>
        </is>
      </c>
    </row>
    <row r="150">
      <c r="A150" s="33" t="n">
        <v>46039.35138888889</v>
      </c>
      <c r="B150" s="34" t="inlineStr">
        <is>
          <t>Win-back Campaign</t>
        </is>
      </c>
      <c r="C150" s="34" t="inlineStr">
        <is>
          <t>Email</t>
        </is>
      </c>
      <c r="D150" s="34" t="inlineStr">
        <is>
          <t>+1 555 0531</t>
        </is>
      </c>
      <c r="E150" s="34" t="inlineStr">
        <is>
          <t>team@example.com</t>
        </is>
      </c>
      <c r="F150" s="34" t="inlineStr">
        <is>
          <t>Completed</t>
        </is>
      </c>
      <c r="G150" s="35" t="n">
        <v>40</v>
      </c>
      <c r="H150" s="34" t="inlineStr">
        <is>
          <t>Riley Chen</t>
        </is>
      </c>
    </row>
    <row r="151">
      <c r="A151" s="36" t="n">
        <v>46212.72152777778</v>
      </c>
      <c r="B151" s="37" t="inlineStr">
        <is>
          <t>Customer Survey</t>
        </is>
      </c>
      <c r="C151" s="37" t="inlineStr">
        <is>
          <t>Call</t>
        </is>
      </c>
      <c r="D151" s="37" t="inlineStr">
        <is>
          <t>+1 555 0531</t>
        </is>
      </c>
      <c r="E151" s="37" t="inlineStr">
        <is>
          <t>client@example.com</t>
        </is>
      </c>
      <c r="F151" s="37" t="inlineStr">
        <is>
          <t>Completed</t>
        </is>
      </c>
      <c r="G151" s="38" t="n">
        <v>31</v>
      </c>
      <c r="H151" s="37" t="inlineStr">
        <is>
          <t>Riley Chen</t>
        </is>
      </c>
    </row>
    <row r="152">
      <c r="A152" s="33" t="n">
        <v>46297.47569444445</v>
      </c>
      <c r="B152" s="34" t="inlineStr">
        <is>
          <t>Product Launch</t>
        </is>
      </c>
      <c r="C152" s="34" t="inlineStr">
        <is>
          <t>Call</t>
        </is>
      </c>
      <c r="D152" s="34" t="inlineStr">
        <is>
          <t>+1 555 2310</t>
        </is>
      </c>
      <c r="E152" s="34" t="inlineStr">
        <is>
          <t>+1 555 5630</t>
        </is>
      </c>
      <c r="F152" s="34" t="inlineStr">
        <is>
          <t>Pending</t>
        </is>
      </c>
      <c r="G152" s="35" t="n">
        <v>27</v>
      </c>
      <c r="H152" s="34" t="inlineStr">
        <is>
          <t>Alexandra Rose</t>
        </is>
      </c>
    </row>
    <row r="153">
      <c r="A153" s="36" t="n">
        <v>46158.52916666667</v>
      </c>
      <c r="B153" s="37" t="inlineStr">
        <is>
          <t>Customer Survey</t>
        </is>
      </c>
      <c r="C153" s="37" t="inlineStr">
        <is>
          <t>Email</t>
        </is>
      </c>
      <c r="D153" s="37" t="inlineStr">
        <is>
          <t>alex@example.com</t>
        </is>
      </c>
      <c r="E153" s="37" t="inlineStr">
        <is>
          <t>client@example.com</t>
        </is>
      </c>
      <c r="F153" s="37" t="inlineStr">
        <is>
          <t>Completed</t>
        </is>
      </c>
      <c r="G153" s="38" t="n">
        <v>3</v>
      </c>
      <c r="H153" s="37" t="inlineStr">
        <is>
          <t>Alexandra Rose</t>
        </is>
      </c>
    </row>
    <row r="154">
      <c r="A154" s="33" t="n">
        <v>46103.51388888889</v>
      </c>
      <c r="B154" s="34" t="inlineStr">
        <is>
          <t>Win-back Campaign</t>
        </is>
      </c>
      <c r="C154" s="34" t="inlineStr">
        <is>
          <t>Email</t>
        </is>
      </c>
      <c r="D154" s="34" t="inlineStr">
        <is>
          <t>+1 555 0531</t>
        </is>
      </c>
      <c r="E154" s="34" t="inlineStr">
        <is>
          <t>team@example.com</t>
        </is>
      </c>
      <c r="F154" s="34" t="inlineStr">
        <is>
          <t>Completed</t>
        </is>
      </c>
      <c r="G154" s="35" t="n">
        <v>12</v>
      </c>
      <c r="H154" s="34" t="inlineStr">
        <is>
          <t>Alexandra Rose</t>
        </is>
      </c>
    </row>
    <row r="155">
      <c r="A155" s="36" t="n">
        <v>46311.77013888889</v>
      </c>
      <c r="B155" s="37" t="inlineStr">
        <is>
          <t>Product Launch</t>
        </is>
      </c>
      <c r="C155" s="37" t="inlineStr">
        <is>
          <t>Call</t>
        </is>
      </c>
      <c r="D155" s="37" t="inlineStr">
        <is>
          <t>+1 555 1359</t>
        </is>
      </c>
      <c r="E155" s="37" t="inlineStr">
        <is>
          <t>client@example.com</t>
        </is>
      </c>
      <c r="F155" s="37" t="inlineStr">
        <is>
          <t>Failed</t>
        </is>
      </c>
      <c r="G155" s="38" t="n"/>
      <c r="H155" s="37" t="inlineStr">
        <is>
          <t>Jordan Lee</t>
        </is>
      </c>
    </row>
    <row r="156">
      <c r="A156" s="33" t="n">
        <v>46163.72916666666</v>
      </c>
      <c r="B156" s="34" t="inlineStr">
        <is>
          <t>Product Launch</t>
        </is>
      </c>
      <c r="C156" s="34" t="inlineStr">
        <is>
          <t>Email</t>
        </is>
      </c>
      <c r="D156" s="34" t="inlineStr">
        <is>
          <t>+1 555 7642</t>
        </is>
      </c>
      <c r="E156" s="34" t="inlineStr">
        <is>
          <t>+1 555 5630</t>
        </is>
      </c>
      <c r="F156" s="34" t="inlineStr">
        <is>
          <t>Completed</t>
        </is>
      </c>
      <c r="G156" s="35" t="n">
        <v>22</v>
      </c>
      <c r="H156" s="34" t="inlineStr">
        <is>
          <t>Taylor Morgan</t>
        </is>
      </c>
    </row>
    <row r="157">
      <c r="A157" s="36" t="n">
        <v>46295.52083333334</v>
      </c>
      <c r="B157" s="37" t="inlineStr">
        <is>
          <t>Win-back Campaign</t>
        </is>
      </c>
      <c r="C157" s="37" t="inlineStr">
        <is>
          <t>Email</t>
        </is>
      </c>
      <c r="D157" s="37" t="inlineStr">
        <is>
          <t>+1 555 7642</t>
        </is>
      </c>
      <c r="E157" s="37" t="inlineStr">
        <is>
          <t>team@example.com</t>
        </is>
      </c>
      <c r="F157" s="37" t="inlineStr">
        <is>
          <t>Completed</t>
        </is>
      </c>
      <c r="G157" s="38" t="n">
        <v>43</v>
      </c>
      <c r="H157" s="37" t="inlineStr">
        <is>
          <t>Jordan Lee</t>
        </is>
      </c>
    </row>
    <row r="158">
      <c r="A158" s="33" t="n">
        <v>46308.49166666667</v>
      </c>
      <c r="B158" s="34" t="inlineStr">
        <is>
          <t>Customer Survey</t>
        </is>
      </c>
      <c r="C158" s="34" t="inlineStr">
        <is>
          <t>Email</t>
        </is>
      </c>
      <c r="D158" s="34" t="inlineStr">
        <is>
          <t>client@example.com</t>
        </is>
      </c>
      <c r="E158" s="34" t="inlineStr">
        <is>
          <t>client@example.com</t>
        </is>
      </c>
      <c r="F158" s="34" t="inlineStr">
        <is>
          <t>Completed</t>
        </is>
      </c>
      <c r="G158" s="35" t="n">
        <v>16</v>
      </c>
      <c r="H158" s="34" t="inlineStr">
        <is>
          <t>Taylor Morgan</t>
        </is>
      </c>
    </row>
    <row r="159">
      <c r="A159" s="36" t="n">
        <v>46032.48402777778</v>
      </c>
      <c r="B159" s="37" t="inlineStr">
        <is>
          <t>Renewal Reminder</t>
        </is>
      </c>
      <c r="C159" s="37" t="inlineStr">
        <is>
          <t>SMS</t>
        </is>
      </c>
      <c r="D159" s="37" t="inlineStr">
        <is>
          <t>alex@example.com</t>
        </is>
      </c>
      <c r="E159" s="37" t="inlineStr">
        <is>
          <t>client@example.com</t>
        </is>
      </c>
      <c r="F159" s="37" t="inlineStr">
        <is>
          <t>Completed</t>
        </is>
      </c>
      <c r="G159" s="38" t="n">
        <v>36</v>
      </c>
      <c r="H159" s="37" t="inlineStr">
        <is>
          <t>Riley Chen</t>
        </is>
      </c>
    </row>
    <row r="160">
      <c r="A160" s="33" t="n">
        <v>46215.49375</v>
      </c>
      <c r="B160" s="34" t="inlineStr">
        <is>
          <t>Customer Survey</t>
        </is>
      </c>
      <c r="C160" s="34" t="inlineStr">
        <is>
          <t>Email</t>
        </is>
      </c>
      <c r="D160" s="34" t="inlineStr">
        <is>
          <t>+1 555 2310</t>
        </is>
      </c>
      <c r="E160" s="34" t="inlineStr">
        <is>
          <t>client@example.com</t>
        </is>
      </c>
      <c r="F160" s="34" t="inlineStr">
        <is>
          <t>Pending</t>
        </is>
      </c>
      <c r="G160" s="35" t="n">
        <v>31</v>
      </c>
      <c r="H160" s="34" t="inlineStr">
        <is>
          <t>Casey Patel</t>
        </is>
      </c>
    </row>
    <row r="161">
      <c r="A161" s="36" t="n">
        <v>46118.59861111111</v>
      </c>
      <c r="B161" s="37" t="inlineStr">
        <is>
          <t>Renewal Reminder</t>
        </is>
      </c>
      <c r="C161" s="37" t="inlineStr">
        <is>
          <t>SMS</t>
        </is>
      </c>
      <c r="D161" s="37" t="inlineStr">
        <is>
          <t>+1 555 1359</t>
        </is>
      </c>
      <c r="E161" s="37" t="inlineStr">
        <is>
          <t>+1 555 3492</t>
        </is>
      </c>
      <c r="F161" s="37" t="inlineStr">
        <is>
          <t>Completed</t>
        </is>
      </c>
      <c r="G161" s="38" t="n">
        <v>5</v>
      </c>
      <c r="H161" s="37" t="inlineStr">
        <is>
          <t>Taylor Morgan</t>
        </is>
      </c>
    </row>
    <row r="162">
      <c r="A162" s="33" t="n">
        <v>46292.48263888889</v>
      </c>
      <c r="B162" s="34" t="inlineStr">
        <is>
          <t>Win-back Campaign</t>
        </is>
      </c>
      <c r="C162" s="34" t="inlineStr">
        <is>
          <t>Call</t>
        </is>
      </c>
      <c r="D162" s="34" t="inlineStr">
        <is>
          <t>+1 555 7642</t>
        </is>
      </c>
      <c r="E162" s="34" t="inlineStr">
        <is>
          <t>+1 555 3492</t>
        </is>
      </c>
      <c r="F162" s="34" t="inlineStr">
        <is>
          <t>Failed</t>
        </is>
      </c>
      <c r="G162" s="35" t="n"/>
      <c r="H162" s="34" t="inlineStr">
        <is>
          <t>Jordan Lee</t>
        </is>
      </c>
    </row>
    <row r="163">
      <c r="A163" s="36" t="n">
        <v>46216.36736111111</v>
      </c>
      <c r="B163" s="37" t="inlineStr">
        <is>
          <t>Product Launch</t>
        </is>
      </c>
      <c r="C163" s="37" t="inlineStr">
        <is>
          <t>Email</t>
        </is>
      </c>
      <c r="D163" s="37" t="inlineStr">
        <is>
          <t>+1 555 1359</t>
        </is>
      </c>
      <c r="E163" s="37" t="inlineStr">
        <is>
          <t>team@example.com</t>
        </is>
      </c>
      <c r="F163" s="37" t="inlineStr">
        <is>
          <t>Completed</t>
        </is>
      </c>
      <c r="G163" s="38" t="n">
        <v>28</v>
      </c>
      <c r="H163" s="37" t="inlineStr">
        <is>
          <t>Jordan Lee</t>
        </is>
      </c>
    </row>
    <row r="164">
      <c r="A164" s="33" t="n">
        <v>46281.78055555555</v>
      </c>
      <c r="B164" s="34" t="inlineStr">
        <is>
          <t>Win-back Campaign</t>
        </is>
      </c>
      <c r="C164" s="34" t="inlineStr">
        <is>
          <t>Call</t>
        </is>
      </c>
      <c r="D164" s="34" t="inlineStr">
        <is>
          <t>client@example.com</t>
        </is>
      </c>
      <c r="E164" s="34" t="inlineStr">
        <is>
          <t>+1 555 3492</t>
        </is>
      </c>
      <c r="F164" s="34" t="inlineStr">
        <is>
          <t>Completed</t>
        </is>
      </c>
      <c r="G164" s="35" t="n">
        <v>24</v>
      </c>
      <c r="H164" s="34" t="inlineStr">
        <is>
          <t>Casey Patel</t>
        </is>
      </c>
    </row>
    <row r="165">
      <c r="A165" s="36" t="n">
        <v>46179.69305555556</v>
      </c>
      <c r="B165" s="37" t="inlineStr">
        <is>
          <t>Product Launch</t>
        </is>
      </c>
      <c r="C165" s="37" t="inlineStr">
        <is>
          <t>SMS</t>
        </is>
      </c>
      <c r="D165" s="37" t="inlineStr">
        <is>
          <t>+1 555 0531</t>
        </is>
      </c>
      <c r="E165" s="37" t="inlineStr">
        <is>
          <t>+1 555 3492</t>
        </is>
      </c>
      <c r="F165" s="37" t="inlineStr">
        <is>
          <t>Completed</t>
        </is>
      </c>
      <c r="G165" s="38" t="n">
        <v>37</v>
      </c>
      <c r="H165" s="37" t="inlineStr">
        <is>
          <t>Casey Patel</t>
        </is>
      </c>
    </row>
    <row r="166">
      <c r="A166" s="33" t="n">
        <v>46111.64305555556</v>
      </c>
      <c r="B166" s="34" t="inlineStr">
        <is>
          <t>Welcome Series</t>
        </is>
      </c>
      <c r="C166" s="34" t="inlineStr">
        <is>
          <t>Email</t>
        </is>
      </c>
      <c r="D166" s="34" t="inlineStr">
        <is>
          <t>+1 555 1359</t>
        </is>
      </c>
      <c r="E166" s="34" t="inlineStr">
        <is>
          <t>team@example.com</t>
        </is>
      </c>
      <c r="F166" s="34" t="inlineStr">
        <is>
          <t>Pending</t>
        </is>
      </c>
      <c r="G166" s="35" t="n">
        <v>20</v>
      </c>
      <c r="H166" s="34" t="inlineStr">
        <is>
          <t>Alexandra Rose</t>
        </is>
      </c>
    </row>
    <row r="167">
      <c r="A167" s="36" t="n">
        <v>46161.69444444445</v>
      </c>
      <c r="B167" s="37" t="inlineStr">
        <is>
          <t>Renewal Reminder</t>
        </is>
      </c>
      <c r="C167" s="37" t="inlineStr">
        <is>
          <t>Call</t>
        </is>
      </c>
      <c r="D167" s="37" t="inlineStr">
        <is>
          <t>client@example.com</t>
        </is>
      </c>
      <c r="E167" s="37" t="inlineStr">
        <is>
          <t>+1 555 2409</t>
        </is>
      </c>
      <c r="F167" s="37" t="inlineStr">
        <is>
          <t>Pending</t>
        </is>
      </c>
      <c r="G167" s="38" t="n">
        <v>109</v>
      </c>
      <c r="H167" s="37" t="inlineStr">
        <is>
          <t>Casey Patel</t>
        </is>
      </c>
    </row>
    <row r="168">
      <c r="A168" s="33" t="n">
        <v>46212.67430555556</v>
      </c>
      <c r="B168" s="34" t="inlineStr">
        <is>
          <t>Newsletter</t>
        </is>
      </c>
      <c r="C168" s="34" t="inlineStr">
        <is>
          <t>SMS</t>
        </is>
      </c>
      <c r="D168" s="34" t="inlineStr">
        <is>
          <t>client@example.com</t>
        </is>
      </c>
      <c r="E168" s="34" t="inlineStr">
        <is>
          <t>+1 555 3492</t>
        </is>
      </c>
      <c r="F168" s="34" t="inlineStr">
        <is>
          <t>Completed</t>
        </is>
      </c>
      <c r="G168" s="35" t="n">
        <v>4</v>
      </c>
      <c r="H168" s="34" t="inlineStr">
        <is>
          <t>Alexandra Rose</t>
        </is>
      </c>
    </row>
    <row r="169">
      <c r="A169" s="36" t="n">
        <v>46209.37013888889</v>
      </c>
      <c r="B169" s="37" t="inlineStr">
        <is>
          <t>Newsletter</t>
        </is>
      </c>
      <c r="C169" s="37" t="inlineStr">
        <is>
          <t>Email</t>
        </is>
      </c>
      <c r="D169" s="37" t="inlineStr">
        <is>
          <t>+1 555 1359</t>
        </is>
      </c>
      <c r="E169" s="37" t="inlineStr">
        <is>
          <t>+1 555 5630</t>
        </is>
      </c>
      <c r="F169" s="37" t="inlineStr">
        <is>
          <t>Completed</t>
        </is>
      </c>
      <c r="G169" s="38" t="n">
        <v>32</v>
      </c>
      <c r="H169" s="37" t="inlineStr">
        <is>
          <t>Jordan Lee</t>
        </is>
      </c>
    </row>
    <row r="170">
      <c r="A170" s="33" t="n">
        <v>46186.75</v>
      </c>
      <c r="B170" s="34" t="inlineStr">
        <is>
          <t>Newsletter</t>
        </is>
      </c>
      <c r="C170" s="34" t="inlineStr">
        <is>
          <t>Email</t>
        </is>
      </c>
      <c r="D170" s="34" t="inlineStr">
        <is>
          <t>+1 555 1359</t>
        </is>
      </c>
      <c r="E170" s="34" t="inlineStr">
        <is>
          <t>+1 555 5630</t>
        </is>
      </c>
      <c r="F170" s="34" t="inlineStr">
        <is>
          <t>Pending</t>
        </is>
      </c>
      <c r="G170" s="35" t="n">
        <v>97</v>
      </c>
      <c r="H170" s="34" t="inlineStr">
        <is>
          <t>Riley Chen</t>
        </is>
      </c>
    </row>
    <row r="171">
      <c r="A171" s="36" t="n">
        <v>46202.38958333333</v>
      </c>
      <c r="B171" s="37" t="inlineStr">
        <is>
          <t>Welcome Series</t>
        </is>
      </c>
      <c r="C171" s="37" t="inlineStr">
        <is>
          <t>Call</t>
        </is>
      </c>
      <c r="D171" s="37" t="inlineStr">
        <is>
          <t>+1 555 2310</t>
        </is>
      </c>
      <c r="E171" s="37" t="inlineStr">
        <is>
          <t>+1 555 5630</t>
        </is>
      </c>
      <c r="F171" s="37" t="inlineStr">
        <is>
          <t>Pending</t>
        </is>
      </c>
      <c r="G171" s="38" t="n">
        <v>56</v>
      </c>
      <c r="H171" s="37" t="inlineStr">
        <is>
          <t>Riley Chen</t>
        </is>
      </c>
    </row>
    <row r="172">
      <c r="A172" s="33" t="n">
        <v>46190.77152777778</v>
      </c>
      <c r="B172" s="34" t="inlineStr">
        <is>
          <t>Renewal Reminder</t>
        </is>
      </c>
      <c r="C172" s="34" t="inlineStr">
        <is>
          <t>SMS</t>
        </is>
      </c>
      <c r="D172" s="34" t="inlineStr">
        <is>
          <t>+1 555 2310</t>
        </is>
      </c>
      <c r="E172" s="34" t="inlineStr">
        <is>
          <t>client@example.com</t>
        </is>
      </c>
      <c r="F172" s="34" t="inlineStr">
        <is>
          <t>Completed</t>
        </is>
      </c>
      <c r="G172" s="35" t="n">
        <v>45</v>
      </c>
      <c r="H172" s="34" t="inlineStr">
        <is>
          <t>Jordan Lee</t>
        </is>
      </c>
    </row>
    <row r="173">
      <c r="A173" s="36" t="n">
        <v>46077.70833333334</v>
      </c>
      <c r="B173" s="37" t="inlineStr">
        <is>
          <t>Welcome Series</t>
        </is>
      </c>
      <c r="C173" s="37" t="inlineStr">
        <is>
          <t>Email</t>
        </is>
      </c>
      <c r="D173" s="37" t="inlineStr">
        <is>
          <t>+1 555 2310</t>
        </is>
      </c>
      <c r="E173" s="37" t="inlineStr">
        <is>
          <t>team@example.com</t>
        </is>
      </c>
      <c r="F173" s="37" t="inlineStr">
        <is>
          <t>Completed</t>
        </is>
      </c>
      <c r="G173" s="38" t="n">
        <v>7</v>
      </c>
      <c r="H173" s="37" t="inlineStr">
        <is>
          <t>Alexandra Rose</t>
        </is>
      </c>
    </row>
    <row r="174">
      <c r="A174" s="33" t="n">
        <v>46096.59236111111</v>
      </c>
      <c r="B174" s="34" t="inlineStr">
        <is>
          <t>Win-back Campaign</t>
        </is>
      </c>
      <c r="C174" s="34" t="inlineStr">
        <is>
          <t>Call</t>
        </is>
      </c>
      <c r="D174" s="34" t="inlineStr">
        <is>
          <t>+1 555 1359</t>
        </is>
      </c>
      <c r="E174" s="34" t="inlineStr">
        <is>
          <t>+1 555 3492</t>
        </is>
      </c>
      <c r="F174" s="34" t="inlineStr">
        <is>
          <t>Pending</t>
        </is>
      </c>
      <c r="G174" s="35" t="n">
        <v>78</v>
      </c>
      <c r="H174" s="34" t="inlineStr">
        <is>
          <t>Taylor Morgan</t>
        </is>
      </c>
    </row>
    <row r="175">
      <c r="A175" s="36" t="n">
        <v>46034.53333333333</v>
      </c>
      <c r="B175" s="37" t="inlineStr">
        <is>
          <t>Product Launch</t>
        </is>
      </c>
      <c r="C175" s="37" t="inlineStr">
        <is>
          <t>Call</t>
        </is>
      </c>
      <c r="D175" s="37" t="inlineStr">
        <is>
          <t>+1 555 1359</t>
        </is>
      </c>
      <c r="E175" s="37" t="inlineStr">
        <is>
          <t>client@example.com</t>
        </is>
      </c>
      <c r="F175" s="37" t="inlineStr">
        <is>
          <t>Completed</t>
        </is>
      </c>
      <c r="G175" s="38" t="n">
        <v>21</v>
      </c>
      <c r="H175" s="37" t="inlineStr">
        <is>
          <t>Riley Chen</t>
        </is>
      </c>
    </row>
    <row r="176">
      <c r="A176" s="33" t="n">
        <v>46036.35972222222</v>
      </c>
      <c r="B176" s="34" t="inlineStr">
        <is>
          <t>Customer Survey</t>
        </is>
      </c>
      <c r="C176" s="34" t="inlineStr">
        <is>
          <t>SMS</t>
        </is>
      </c>
      <c r="D176" s="34" t="inlineStr">
        <is>
          <t>+1 555 0531</t>
        </is>
      </c>
      <c r="E176" s="34" t="inlineStr">
        <is>
          <t>+1 555 2409</t>
        </is>
      </c>
      <c r="F176" s="34" t="inlineStr">
        <is>
          <t>Completed</t>
        </is>
      </c>
      <c r="G176" s="35" t="n">
        <v>27</v>
      </c>
      <c r="H176" s="34" t="inlineStr">
        <is>
          <t>Riley Chen</t>
        </is>
      </c>
    </row>
    <row r="177">
      <c r="A177" s="36" t="n">
        <v>46171.48888888889</v>
      </c>
      <c r="B177" s="37" t="inlineStr">
        <is>
          <t>Renewal Reminder</t>
        </is>
      </c>
      <c r="C177" s="37" t="inlineStr">
        <is>
          <t>Call</t>
        </is>
      </c>
      <c r="D177" s="37" t="inlineStr">
        <is>
          <t>client@example.com</t>
        </is>
      </c>
      <c r="E177" s="37" t="inlineStr">
        <is>
          <t>+1 555 2409</t>
        </is>
      </c>
      <c r="F177" s="37" t="inlineStr">
        <is>
          <t>Completed</t>
        </is>
      </c>
      <c r="G177" s="38" t="n">
        <v>38</v>
      </c>
      <c r="H177" s="37" t="inlineStr">
        <is>
          <t>Casey Patel</t>
        </is>
      </c>
    </row>
    <row r="178">
      <c r="A178" s="33" t="n">
        <v>46265.49166666667</v>
      </c>
      <c r="B178" s="34" t="inlineStr">
        <is>
          <t>Renewal Reminder</t>
        </is>
      </c>
      <c r="C178" s="34" t="inlineStr">
        <is>
          <t>Email</t>
        </is>
      </c>
      <c r="D178" s="34" t="inlineStr">
        <is>
          <t>+1 555 0531</t>
        </is>
      </c>
      <c r="E178" s="34" t="inlineStr">
        <is>
          <t>+1 555 2409</t>
        </is>
      </c>
      <c r="F178" s="34" t="inlineStr">
        <is>
          <t>Completed</t>
        </is>
      </c>
      <c r="G178" s="35" t="n">
        <v>7</v>
      </c>
      <c r="H178" s="34" t="inlineStr">
        <is>
          <t>Taylor Morgan</t>
        </is>
      </c>
    </row>
    <row r="179">
      <c r="A179" s="36" t="n">
        <v>46244.52152777778</v>
      </c>
      <c r="B179" s="37" t="inlineStr">
        <is>
          <t>Customer Survey</t>
        </is>
      </c>
      <c r="C179" s="37" t="inlineStr">
        <is>
          <t>Email</t>
        </is>
      </c>
      <c r="D179" s="37" t="inlineStr">
        <is>
          <t>+1 555 1359</t>
        </is>
      </c>
      <c r="E179" s="37" t="inlineStr">
        <is>
          <t>+1 555 3492</t>
        </is>
      </c>
      <c r="F179" s="37" t="inlineStr">
        <is>
          <t>Pending</t>
        </is>
      </c>
      <c r="G179" s="38" t="n">
        <v>76</v>
      </c>
      <c r="H179" s="37" t="inlineStr">
        <is>
          <t>Alexandra Rose</t>
        </is>
      </c>
    </row>
    <row r="180">
      <c r="A180" s="33" t="n">
        <v>46299.71180555555</v>
      </c>
      <c r="B180" s="34" t="inlineStr">
        <is>
          <t>Renewal Reminder</t>
        </is>
      </c>
      <c r="C180" s="34" t="inlineStr">
        <is>
          <t>SMS</t>
        </is>
      </c>
      <c r="D180" s="34" t="inlineStr">
        <is>
          <t>client@example.com</t>
        </is>
      </c>
      <c r="E180" s="34" t="inlineStr">
        <is>
          <t>+1 555 2409</t>
        </is>
      </c>
      <c r="F180" s="34" t="inlineStr">
        <is>
          <t>Completed</t>
        </is>
      </c>
      <c r="G180" s="35" t="n">
        <v>13</v>
      </c>
      <c r="H180" s="34" t="inlineStr">
        <is>
          <t>Jordan Lee</t>
        </is>
      </c>
    </row>
    <row r="181">
      <c r="A181" s="36" t="n">
        <v>46271.40486111111</v>
      </c>
      <c r="B181" s="37" t="inlineStr">
        <is>
          <t>Renewal Reminder</t>
        </is>
      </c>
      <c r="C181" s="37" t="inlineStr">
        <is>
          <t>SMS</t>
        </is>
      </c>
      <c r="D181" s="37" t="inlineStr">
        <is>
          <t>client@example.com</t>
        </is>
      </c>
      <c r="E181" s="37" t="inlineStr">
        <is>
          <t>+1 555 2409</t>
        </is>
      </c>
      <c r="F181" s="37" t="inlineStr">
        <is>
          <t>Pending</t>
        </is>
      </c>
      <c r="G181" s="38" t="n">
        <v>64</v>
      </c>
      <c r="H181" s="37" t="inlineStr">
        <is>
          <t>Jordan Lee</t>
        </is>
      </c>
    </row>
    <row r="182">
      <c r="A182" s="33" t="n">
        <v>46311.69861111111</v>
      </c>
      <c r="B182" s="34" t="inlineStr">
        <is>
          <t>Newsletter</t>
        </is>
      </c>
      <c r="C182" s="34" t="inlineStr">
        <is>
          <t>Email</t>
        </is>
      </c>
      <c r="D182" s="34" t="inlineStr">
        <is>
          <t>+1 555 0531</t>
        </is>
      </c>
      <c r="E182" s="34" t="inlineStr">
        <is>
          <t>+1 555 5630</t>
        </is>
      </c>
      <c r="F182" s="34" t="inlineStr">
        <is>
          <t>Completed</t>
        </is>
      </c>
      <c r="G182" s="35" t="n">
        <v>11</v>
      </c>
      <c r="H182" s="34" t="inlineStr">
        <is>
          <t>Alexandra Rose</t>
        </is>
      </c>
    </row>
    <row r="183">
      <c r="A183" s="36" t="n">
        <v>46065.43611111111</v>
      </c>
      <c r="B183" s="37" t="inlineStr">
        <is>
          <t>Welcome Series</t>
        </is>
      </c>
      <c r="C183" s="37" t="inlineStr">
        <is>
          <t>Email</t>
        </is>
      </c>
      <c r="D183" s="37" t="inlineStr">
        <is>
          <t>+1 555 1359</t>
        </is>
      </c>
      <c r="E183" s="37" t="inlineStr">
        <is>
          <t>client@example.com</t>
        </is>
      </c>
      <c r="F183" s="37" t="inlineStr">
        <is>
          <t>Completed</t>
        </is>
      </c>
      <c r="G183" s="38" t="n">
        <v>45</v>
      </c>
      <c r="H183" s="37" t="inlineStr">
        <is>
          <t>Jordan Lee</t>
        </is>
      </c>
    </row>
    <row r="184">
      <c r="A184" s="33" t="n">
        <v>46169.74583333333</v>
      </c>
      <c r="B184" s="34" t="inlineStr">
        <is>
          <t>Win-back Campaign</t>
        </is>
      </c>
      <c r="C184" s="34" t="inlineStr">
        <is>
          <t>Email</t>
        </is>
      </c>
      <c r="D184" s="34" t="inlineStr">
        <is>
          <t>+1 555 2310</t>
        </is>
      </c>
      <c r="E184" s="34" t="inlineStr">
        <is>
          <t>client@example.com</t>
        </is>
      </c>
      <c r="F184" s="34" t="inlineStr">
        <is>
          <t>Completed</t>
        </is>
      </c>
      <c r="G184" s="35" t="n">
        <v>23</v>
      </c>
      <c r="H184" s="34" t="inlineStr">
        <is>
          <t>Casey Patel</t>
        </is>
      </c>
    </row>
    <row r="185">
      <c r="A185" s="36" t="n">
        <v>46088.68680555555</v>
      </c>
      <c r="B185" s="37" t="inlineStr">
        <is>
          <t>Win-back Campaign</t>
        </is>
      </c>
      <c r="C185" s="37" t="inlineStr">
        <is>
          <t>Call</t>
        </is>
      </c>
      <c r="D185" s="37" t="inlineStr">
        <is>
          <t>+1 555 0531</t>
        </is>
      </c>
      <c r="E185" s="37" t="inlineStr">
        <is>
          <t>+1 555 2409</t>
        </is>
      </c>
      <c r="F185" s="37" t="inlineStr">
        <is>
          <t>Completed</t>
        </is>
      </c>
      <c r="G185" s="38" t="n">
        <v>14</v>
      </c>
      <c r="H185" s="37" t="inlineStr">
        <is>
          <t>Casey Patel</t>
        </is>
      </c>
    </row>
    <row r="186">
      <c r="A186" s="33" t="n">
        <v>46219.59166666667</v>
      </c>
      <c r="B186" s="34" t="inlineStr">
        <is>
          <t>Customer Survey</t>
        </is>
      </c>
      <c r="C186" s="34" t="inlineStr">
        <is>
          <t>SMS</t>
        </is>
      </c>
      <c r="D186" s="34" t="inlineStr">
        <is>
          <t>alex@example.com</t>
        </is>
      </c>
      <c r="E186" s="34" t="inlineStr">
        <is>
          <t>+1 555 5630</t>
        </is>
      </c>
      <c r="F186" s="34" t="inlineStr">
        <is>
          <t>Completed</t>
        </is>
      </c>
      <c r="G186" s="35" t="n">
        <v>43</v>
      </c>
      <c r="H186" s="34" t="inlineStr">
        <is>
          <t>Alexandra Rose</t>
        </is>
      </c>
    </row>
    <row r="187">
      <c r="A187" s="36" t="n">
        <v>46310.48958333334</v>
      </c>
      <c r="B187" s="37" t="inlineStr">
        <is>
          <t>Product Launch</t>
        </is>
      </c>
      <c r="C187" s="37" t="inlineStr">
        <is>
          <t>Email</t>
        </is>
      </c>
      <c r="D187" s="37" t="inlineStr">
        <is>
          <t>client@example.com</t>
        </is>
      </c>
      <c r="E187" s="37" t="inlineStr">
        <is>
          <t>client@example.com</t>
        </is>
      </c>
      <c r="F187" s="37" t="inlineStr">
        <is>
          <t>Completed</t>
        </is>
      </c>
      <c r="G187" s="38" t="n">
        <v>10</v>
      </c>
      <c r="H187" s="37" t="inlineStr">
        <is>
          <t>Jordan Lee</t>
        </is>
      </c>
    </row>
    <row r="188">
      <c r="A188" s="33" t="n">
        <v>46065.7875</v>
      </c>
      <c r="B188" s="34" t="inlineStr">
        <is>
          <t>Customer Survey</t>
        </is>
      </c>
      <c r="C188" s="34" t="inlineStr">
        <is>
          <t>SMS</t>
        </is>
      </c>
      <c r="D188" s="34" t="inlineStr">
        <is>
          <t>+1 555 0531</t>
        </is>
      </c>
      <c r="E188" s="34" t="inlineStr">
        <is>
          <t>client@example.com</t>
        </is>
      </c>
      <c r="F188" s="34" t="inlineStr">
        <is>
          <t>Failed</t>
        </is>
      </c>
      <c r="G188" s="35" t="n"/>
      <c r="H188" s="34" t="inlineStr">
        <is>
          <t>Riley Chen</t>
        </is>
      </c>
    </row>
    <row r="189">
      <c r="A189" s="36" t="n">
        <v>46175.41736111111</v>
      </c>
      <c r="B189" s="37" t="inlineStr">
        <is>
          <t>Product Launch</t>
        </is>
      </c>
      <c r="C189" s="37" t="inlineStr">
        <is>
          <t>Email</t>
        </is>
      </c>
      <c r="D189" s="37" t="inlineStr">
        <is>
          <t>+1 555 0531</t>
        </is>
      </c>
      <c r="E189" s="37" t="inlineStr">
        <is>
          <t>+1 555 5630</t>
        </is>
      </c>
      <c r="F189" s="37" t="inlineStr">
        <is>
          <t>Completed</t>
        </is>
      </c>
      <c r="G189" s="38" t="n">
        <v>37</v>
      </c>
      <c r="H189" s="37" t="inlineStr">
        <is>
          <t>Alexandra Rose</t>
        </is>
      </c>
    </row>
    <row r="190">
      <c r="A190" s="33" t="n">
        <v>46302.78680555556</v>
      </c>
      <c r="B190" s="34" t="inlineStr">
        <is>
          <t>Renewal Reminder</t>
        </is>
      </c>
      <c r="C190" s="34" t="inlineStr">
        <is>
          <t>Call</t>
        </is>
      </c>
      <c r="D190" s="34" t="inlineStr">
        <is>
          <t>client@example.com</t>
        </is>
      </c>
      <c r="E190" s="34" t="inlineStr">
        <is>
          <t>+1 555 5630</t>
        </is>
      </c>
      <c r="F190" s="34" t="inlineStr">
        <is>
          <t>Completed</t>
        </is>
      </c>
      <c r="G190" s="35" t="n">
        <v>16</v>
      </c>
      <c r="H190" s="34" t="inlineStr">
        <is>
          <t>Alexandra Rose</t>
        </is>
      </c>
    </row>
    <row r="191">
      <c r="A191" s="36" t="n">
        <v>46045.34722222222</v>
      </c>
      <c r="B191" s="37" t="inlineStr">
        <is>
          <t>Newsletter</t>
        </is>
      </c>
      <c r="C191" s="37" t="inlineStr">
        <is>
          <t>Call</t>
        </is>
      </c>
      <c r="D191" s="37" t="inlineStr">
        <is>
          <t>+1 555 1359</t>
        </is>
      </c>
      <c r="E191" s="37" t="inlineStr">
        <is>
          <t>+1 555 5630</t>
        </is>
      </c>
      <c r="F191" s="37" t="inlineStr">
        <is>
          <t>Completed</t>
        </is>
      </c>
      <c r="G191" s="38" t="n">
        <v>2</v>
      </c>
      <c r="H191" s="37" t="inlineStr">
        <is>
          <t>Casey Patel</t>
        </is>
      </c>
    </row>
    <row r="192">
      <c r="A192" s="33" t="n">
        <v>46088.44930555556</v>
      </c>
      <c r="B192" s="34" t="inlineStr">
        <is>
          <t>Newsletter</t>
        </is>
      </c>
      <c r="C192" s="34" t="inlineStr">
        <is>
          <t>Call</t>
        </is>
      </c>
      <c r="D192" s="34" t="inlineStr">
        <is>
          <t>+1 555 1359</t>
        </is>
      </c>
      <c r="E192" s="34" t="inlineStr">
        <is>
          <t>+1 555 5630</t>
        </is>
      </c>
      <c r="F192" s="34" t="inlineStr">
        <is>
          <t>Completed</t>
        </is>
      </c>
      <c r="G192" s="35" t="n">
        <v>3</v>
      </c>
      <c r="H192" s="34" t="inlineStr">
        <is>
          <t>Casey Patel</t>
        </is>
      </c>
    </row>
    <row r="193">
      <c r="A193" s="36" t="n">
        <v>46264.65694444445</v>
      </c>
      <c r="B193" s="37" t="inlineStr">
        <is>
          <t>Welcome Series</t>
        </is>
      </c>
      <c r="C193" s="37" t="inlineStr">
        <is>
          <t>Call</t>
        </is>
      </c>
      <c r="D193" s="37" t="inlineStr">
        <is>
          <t>+1 555 1359</t>
        </is>
      </c>
      <c r="E193" s="37" t="inlineStr">
        <is>
          <t>client@example.com</t>
        </is>
      </c>
      <c r="F193" s="37" t="inlineStr">
        <is>
          <t>Completed</t>
        </is>
      </c>
      <c r="G193" s="38" t="n">
        <v>15</v>
      </c>
      <c r="H193" s="37" t="inlineStr">
        <is>
          <t>Alexandra Rose</t>
        </is>
      </c>
    </row>
    <row r="194">
      <c r="A194" s="33" t="n">
        <v>46263.35277777778</v>
      </c>
      <c r="B194" s="34" t="inlineStr">
        <is>
          <t>Newsletter</t>
        </is>
      </c>
      <c r="C194" s="34" t="inlineStr">
        <is>
          <t>Email</t>
        </is>
      </c>
      <c r="D194" s="34" t="inlineStr">
        <is>
          <t>+1 555 0531</t>
        </is>
      </c>
      <c r="E194" s="34" t="inlineStr">
        <is>
          <t>+1 555 3492</t>
        </is>
      </c>
      <c r="F194" s="34" t="inlineStr">
        <is>
          <t>Pending</t>
        </is>
      </c>
      <c r="G194" s="35" t="n">
        <v>113</v>
      </c>
      <c r="H194" s="34" t="inlineStr">
        <is>
          <t>Jordan Lee</t>
        </is>
      </c>
    </row>
    <row r="195">
      <c r="A195" s="36" t="n">
        <v>46273.57013888889</v>
      </c>
      <c r="B195" s="37" t="inlineStr">
        <is>
          <t>Customer Survey</t>
        </is>
      </c>
      <c r="C195" s="37" t="inlineStr">
        <is>
          <t>SMS</t>
        </is>
      </c>
      <c r="D195" s="37" t="inlineStr">
        <is>
          <t>alex@example.com</t>
        </is>
      </c>
      <c r="E195" s="37" t="inlineStr">
        <is>
          <t>+1 555 2409</t>
        </is>
      </c>
      <c r="F195" s="37" t="inlineStr">
        <is>
          <t>Pending</t>
        </is>
      </c>
      <c r="G195" s="38" t="n">
        <v>85</v>
      </c>
      <c r="H195" s="37" t="inlineStr">
        <is>
          <t>Taylor Morgan</t>
        </is>
      </c>
    </row>
    <row r="196">
      <c r="A196" s="33" t="n">
        <v>46082.64375</v>
      </c>
      <c r="B196" s="34" t="inlineStr">
        <is>
          <t>Newsletter</t>
        </is>
      </c>
      <c r="C196" s="34" t="inlineStr">
        <is>
          <t>Call</t>
        </is>
      </c>
      <c r="D196" s="34" t="inlineStr">
        <is>
          <t>+1 555 0531</t>
        </is>
      </c>
      <c r="E196" s="34" t="inlineStr">
        <is>
          <t>client@example.com</t>
        </is>
      </c>
      <c r="F196" s="34" t="inlineStr">
        <is>
          <t>Pending</t>
        </is>
      </c>
      <c r="G196" s="35" t="n">
        <v>18</v>
      </c>
      <c r="H196" s="34" t="inlineStr">
        <is>
          <t>Jordan Lee</t>
        </is>
      </c>
    </row>
    <row r="197">
      <c r="A197" s="36" t="n">
        <v>46092.36041666667</v>
      </c>
      <c r="B197" s="37" t="inlineStr">
        <is>
          <t>Newsletter</t>
        </is>
      </c>
      <c r="C197" s="37" t="inlineStr">
        <is>
          <t>Email</t>
        </is>
      </c>
      <c r="D197" s="37" t="inlineStr">
        <is>
          <t>+1 555 7642</t>
        </is>
      </c>
      <c r="E197" s="37" t="inlineStr">
        <is>
          <t>client@example.com</t>
        </is>
      </c>
      <c r="F197" s="37" t="inlineStr">
        <is>
          <t>Completed</t>
        </is>
      </c>
      <c r="G197" s="38" t="n">
        <v>12</v>
      </c>
      <c r="H197" s="37" t="inlineStr">
        <is>
          <t>Casey Patel</t>
        </is>
      </c>
    </row>
    <row r="198">
      <c r="A198" s="33" t="n">
        <v>46299.60902777778</v>
      </c>
      <c r="B198" s="34" t="inlineStr">
        <is>
          <t>Product Launch</t>
        </is>
      </c>
      <c r="C198" s="34" t="inlineStr">
        <is>
          <t>Call</t>
        </is>
      </c>
      <c r="D198" s="34" t="inlineStr">
        <is>
          <t>+1 555 7642</t>
        </is>
      </c>
      <c r="E198" s="34" t="inlineStr">
        <is>
          <t>+1 555 2409</t>
        </is>
      </c>
      <c r="F198" s="34" t="inlineStr">
        <is>
          <t>Pending</t>
        </is>
      </c>
      <c r="G198" s="35" t="n">
        <v>22</v>
      </c>
      <c r="H198" s="34" t="inlineStr">
        <is>
          <t>Alexandra Rose</t>
        </is>
      </c>
    </row>
    <row r="199">
      <c r="A199" s="36" t="n">
        <v>46291.78194444445</v>
      </c>
      <c r="B199" s="37" t="inlineStr">
        <is>
          <t>Win-back Campaign</t>
        </is>
      </c>
      <c r="C199" s="37" t="inlineStr">
        <is>
          <t>Call</t>
        </is>
      </c>
      <c r="D199" s="37" t="inlineStr">
        <is>
          <t>+1 555 2310</t>
        </is>
      </c>
      <c r="E199" s="37" t="inlineStr">
        <is>
          <t>+1 555 5630</t>
        </is>
      </c>
      <c r="F199" s="37" t="inlineStr">
        <is>
          <t>Completed</t>
        </is>
      </c>
      <c r="G199" s="38" t="n">
        <v>6</v>
      </c>
      <c r="H199" s="37" t="inlineStr">
        <is>
          <t>Alexandra Rose</t>
        </is>
      </c>
    </row>
    <row r="200">
      <c r="A200" s="33" t="n">
        <v>46228.45694444444</v>
      </c>
      <c r="B200" s="34" t="inlineStr">
        <is>
          <t>Renewal Reminder</t>
        </is>
      </c>
      <c r="C200" s="34" t="inlineStr">
        <is>
          <t>Call</t>
        </is>
      </c>
      <c r="D200" s="34" t="inlineStr">
        <is>
          <t>+1 555 7642</t>
        </is>
      </c>
      <c r="E200" s="34" t="inlineStr">
        <is>
          <t>team@example.com</t>
        </is>
      </c>
      <c r="F200" s="34" t="inlineStr">
        <is>
          <t>Completed</t>
        </is>
      </c>
      <c r="G200" s="35" t="n">
        <v>43</v>
      </c>
      <c r="H200" s="34" t="inlineStr">
        <is>
          <t>Casey Patel</t>
        </is>
      </c>
    </row>
    <row r="201">
      <c r="A201" s="36" t="n">
        <v>46112.45625</v>
      </c>
      <c r="B201" s="37" t="inlineStr">
        <is>
          <t>Welcome Series</t>
        </is>
      </c>
      <c r="C201" s="37" t="inlineStr">
        <is>
          <t>SMS</t>
        </is>
      </c>
      <c r="D201" s="37" t="inlineStr">
        <is>
          <t>+1 555 1359</t>
        </is>
      </c>
      <c r="E201" s="37" t="inlineStr">
        <is>
          <t>+1 555 3492</t>
        </is>
      </c>
      <c r="F201" s="37" t="inlineStr">
        <is>
          <t>Completed</t>
        </is>
      </c>
      <c r="G201" s="38" t="n">
        <v>13</v>
      </c>
      <c r="H201" s="37" t="inlineStr">
        <is>
          <t>Casey Patel</t>
        </is>
      </c>
    </row>
    <row r="202">
      <c r="A202" s="33" t="n">
        <v>46179.54861111111</v>
      </c>
      <c r="B202" s="34" t="inlineStr">
        <is>
          <t>Newsletter</t>
        </is>
      </c>
      <c r="C202" s="34" t="inlineStr">
        <is>
          <t>Email</t>
        </is>
      </c>
      <c r="D202" s="34" t="inlineStr">
        <is>
          <t>+1 555 2310</t>
        </is>
      </c>
      <c r="E202" s="34" t="inlineStr">
        <is>
          <t>+1 555 5630</t>
        </is>
      </c>
      <c r="F202" s="34" t="inlineStr">
        <is>
          <t>Completed</t>
        </is>
      </c>
      <c r="G202" s="35" t="n">
        <v>16</v>
      </c>
      <c r="H202" s="34" t="inlineStr">
        <is>
          <t>Alexandra Rose</t>
        </is>
      </c>
    </row>
    <row r="203">
      <c r="A203" s="36" t="n">
        <v>46134.59583333333</v>
      </c>
      <c r="B203" s="37" t="inlineStr">
        <is>
          <t>Win-back Campaign</t>
        </is>
      </c>
      <c r="C203" s="37" t="inlineStr">
        <is>
          <t>SMS</t>
        </is>
      </c>
      <c r="D203" s="37" t="inlineStr">
        <is>
          <t>+1 555 2310</t>
        </is>
      </c>
      <c r="E203" s="37" t="inlineStr">
        <is>
          <t>+1 555 3492</t>
        </is>
      </c>
      <c r="F203" s="37" t="inlineStr">
        <is>
          <t>Completed</t>
        </is>
      </c>
      <c r="G203" s="38" t="n">
        <v>39</v>
      </c>
      <c r="H203" s="37" t="inlineStr">
        <is>
          <t>Taylor Morgan</t>
        </is>
      </c>
    </row>
    <row r="204">
      <c r="A204" s="33" t="n">
        <v>46221.53125</v>
      </c>
      <c r="B204" s="34" t="inlineStr">
        <is>
          <t>Win-back Campaign</t>
        </is>
      </c>
      <c r="C204" s="34" t="inlineStr">
        <is>
          <t>Email</t>
        </is>
      </c>
      <c r="D204" s="34" t="inlineStr">
        <is>
          <t>client@example.com</t>
        </is>
      </c>
      <c r="E204" s="34" t="inlineStr">
        <is>
          <t>team@example.com</t>
        </is>
      </c>
      <c r="F204" s="34" t="inlineStr">
        <is>
          <t>Completed</t>
        </is>
      </c>
      <c r="G204" s="35" t="n">
        <v>12</v>
      </c>
      <c r="H204" s="34" t="inlineStr">
        <is>
          <t>Jordan Lee</t>
        </is>
      </c>
    </row>
    <row r="205">
      <c r="A205" s="36" t="n">
        <v>46213.39375</v>
      </c>
      <c r="B205" s="37" t="inlineStr">
        <is>
          <t>Product Launch</t>
        </is>
      </c>
      <c r="C205" s="37" t="inlineStr">
        <is>
          <t>Email</t>
        </is>
      </c>
      <c r="D205" s="37" t="inlineStr">
        <is>
          <t>client@example.com</t>
        </is>
      </c>
      <c r="E205" s="37" t="inlineStr">
        <is>
          <t>+1 555 5630</t>
        </is>
      </c>
      <c r="F205" s="37" t="inlineStr">
        <is>
          <t>Completed</t>
        </is>
      </c>
      <c r="G205" s="38" t="n">
        <v>4</v>
      </c>
      <c r="H205" s="37" t="inlineStr">
        <is>
          <t>Riley Chen</t>
        </is>
      </c>
    </row>
    <row r="206">
      <c r="A206" s="33" t="n">
        <v>46191.71041666667</v>
      </c>
      <c r="B206" s="34" t="inlineStr">
        <is>
          <t>Welcome Series</t>
        </is>
      </c>
      <c r="C206" s="34" t="inlineStr">
        <is>
          <t>Call</t>
        </is>
      </c>
      <c r="D206" s="34" t="inlineStr">
        <is>
          <t>+1 555 1359</t>
        </is>
      </c>
      <c r="E206" s="34" t="inlineStr">
        <is>
          <t>+1 555 2409</t>
        </is>
      </c>
      <c r="F206" s="34" t="inlineStr">
        <is>
          <t>Completed</t>
        </is>
      </c>
      <c r="G206" s="35" t="n">
        <v>36</v>
      </c>
      <c r="H206" s="34" t="inlineStr">
        <is>
          <t>Alexandra Rose</t>
        </is>
      </c>
    </row>
    <row r="207">
      <c r="A207" s="36" t="n">
        <v>46037.66666666666</v>
      </c>
      <c r="B207" s="37" t="inlineStr">
        <is>
          <t>Product Launch</t>
        </is>
      </c>
      <c r="C207" s="37" t="inlineStr">
        <is>
          <t>Call</t>
        </is>
      </c>
      <c r="D207" s="37" t="inlineStr">
        <is>
          <t>+1 555 7642</t>
        </is>
      </c>
      <c r="E207" s="37" t="inlineStr">
        <is>
          <t>team@example.com</t>
        </is>
      </c>
      <c r="F207" s="37" t="inlineStr">
        <is>
          <t>Failed</t>
        </is>
      </c>
      <c r="G207" s="38" t="n"/>
      <c r="H207" s="37" t="inlineStr">
        <is>
          <t>Jordan Lee</t>
        </is>
      </c>
    </row>
    <row r="208">
      <c r="A208" s="33" t="n">
        <v>46045.78680555556</v>
      </c>
      <c r="B208" s="34" t="inlineStr">
        <is>
          <t>Newsletter</t>
        </is>
      </c>
      <c r="C208" s="34" t="inlineStr">
        <is>
          <t>SMS</t>
        </is>
      </c>
      <c r="D208" s="34" t="inlineStr">
        <is>
          <t>+1 555 7642</t>
        </is>
      </c>
      <c r="E208" s="34" t="inlineStr">
        <is>
          <t>+1 555 2409</t>
        </is>
      </c>
      <c r="F208" s="34" t="inlineStr">
        <is>
          <t>Completed</t>
        </is>
      </c>
      <c r="G208" s="35" t="n">
        <v>16</v>
      </c>
      <c r="H208" s="34" t="inlineStr">
        <is>
          <t>Alexandra Rose</t>
        </is>
      </c>
    </row>
    <row r="209">
      <c r="A209" s="36" t="n">
        <v>46079.46041666667</v>
      </c>
      <c r="B209" s="37" t="inlineStr">
        <is>
          <t>Product Launch</t>
        </is>
      </c>
      <c r="C209" s="37" t="inlineStr">
        <is>
          <t>SMS</t>
        </is>
      </c>
      <c r="D209" s="37" t="inlineStr">
        <is>
          <t>+1 555 7642</t>
        </is>
      </c>
      <c r="E209" s="37" t="inlineStr">
        <is>
          <t>+1 555 5630</t>
        </is>
      </c>
      <c r="F209" s="37" t="inlineStr">
        <is>
          <t>Completed</t>
        </is>
      </c>
      <c r="G209" s="38" t="n">
        <v>36</v>
      </c>
      <c r="H209" s="37" t="inlineStr">
        <is>
          <t>Alexandra Rose</t>
        </is>
      </c>
    </row>
    <row r="210">
      <c r="A210" s="33" t="n">
        <v>46118.77847222222</v>
      </c>
      <c r="B210" s="34" t="inlineStr">
        <is>
          <t>Welcome Series</t>
        </is>
      </c>
      <c r="C210" s="34" t="inlineStr">
        <is>
          <t>Email</t>
        </is>
      </c>
      <c r="D210" s="34" t="inlineStr">
        <is>
          <t>alex@example.com</t>
        </is>
      </c>
      <c r="E210" s="34" t="inlineStr">
        <is>
          <t>client@example.com</t>
        </is>
      </c>
      <c r="F210" s="34" t="inlineStr">
        <is>
          <t>Completed</t>
        </is>
      </c>
      <c r="G210" s="35" t="n">
        <v>16</v>
      </c>
      <c r="H210" s="34" t="inlineStr">
        <is>
          <t>Casey Patel</t>
        </is>
      </c>
    </row>
    <row r="211">
      <c r="A211" s="36" t="n">
        <v>46297.58263888889</v>
      </c>
      <c r="B211" s="37" t="inlineStr">
        <is>
          <t>Renewal Reminder</t>
        </is>
      </c>
      <c r="C211" s="37" t="inlineStr">
        <is>
          <t>Email</t>
        </is>
      </c>
      <c r="D211" s="37" t="inlineStr">
        <is>
          <t>+1 555 2310</t>
        </is>
      </c>
      <c r="E211" s="37" t="inlineStr">
        <is>
          <t>+1 555 5630</t>
        </is>
      </c>
      <c r="F211" s="37" t="inlineStr">
        <is>
          <t>Completed</t>
        </is>
      </c>
      <c r="G211" s="38" t="n">
        <v>45</v>
      </c>
      <c r="H211" s="37" t="inlineStr">
        <is>
          <t>Casey Patel</t>
        </is>
      </c>
    </row>
    <row r="212">
      <c r="A212" s="33" t="n">
        <v>46276.35972222222</v>
      </c>
      <c r="B212" s="34" t="inlineStr">
        <is>
          <t>Newsletter</t>
        </is>
      </c>
      <c r="C212" s="34" t="inlineStr">
        <is>
          <t>Call</t>
        </is>
      </c>
      <c r="D212" s="34" t="inlineStr">
        <is>
          <t>+1 555 0531</t>
        </is>
      </c>
      <c r="E212" s="34" t="inlineStr">
        <is>
          <t>team@example.com</t>
        </is>
      </c>
      <c r="F212" s="34" t="inlineStr">
        <is>
          <t>Pending</t>
        </is>
      </c>
      <c r="G212" s="35" t="n">
        <v>109</v>
      </c>
      <c r="H212" s="34" t="inlineStr">
        <is>
          <t>Taylor Morgan</t>
        </is>
      </c>
    </row>
    <row r="213">
      <c r="A213" s="36" t="n">
        <v>46024.3875</v>
      </c>
      <c r="B213" s="37" t="inlineStr">
        <is>
          <t>Product Launch</t>
        </is>
      </c>
      <c r="C213" s="37" t="inlineStr">
        <is>
          <t>Email</t>
        </is>
      </c>
      <c r="D213" s="37" t="inlineStr">
        <is>
          <t>+1 555 1359</t>
        </is>
      </c>
      <c r="E213" s="37" t="inlineStr">
        <is>
          <t>+1 555 3492</t>
        </is>
      </c>
      <c r="F213" s="37" t="inlineStr">
        <is>
          <t>Pending</t>
        </is>
      </c>
      <c r="G213" s="38" t="n">
        <v>32</v>
      </c>
      <c r="H213" s="37" t="inlineStr">
        <is>
          <t>Alexandra Rose</t>
        </is>
      </c>
    </row>
    <row r="214">
      <c r="A214" s="33" t="n">
        <v>46043.53472222222</v>
      </c>
      <c r="B214" s="34" t="inlineStr">
        <is>
          <t>Product Launch</t>
        </is>
      </c>
      <c r="C214" s="34" t="inlineStr">
        <is>
          <t>Call</t>
        </is>
      </c>
      <c r="D214" s="34" t="inlineStr">
        <is>
          <t>+1 555 1359</t>
        </is>
      </c>
      <c r="E214" s="34" t="inlineStr">
        <is>
          <t>client@example.com</t>
        </is>
      </c>
      <c r="F214" s="34" t="inlineStr">
        <is>
          <t>Pending</t>
        </is>
      </c>
      <c r="G214" s="35" t="n">
        <v>16</v>
      </c>
      <c r="H214" s="34" t="inlineStr">
        <is>
          <t>Taylor Morgan</t>
        </is>
      </c>
    </row>
    <row r="215">
      <c r="A215" s="36" t="n">
        <v>46054.35347222222</v>
      </c>
      <c r="B215" s="37" t="inlineStr">
        <is>
          <t>Newsletter</t>
        </is>
      </c>
      <c r="C215" s="37" t="inlineStr">
        <is>
          <t>Email</t>
        </is>
      </c>
      <c r="D215" s="37" t="inlineStr">
        <is>
          <t>+1 555 2310</t>
        </is>
      </c>
      <c r="E215" s="37" t="inlineStr">
        <is>
          <t>+1 555 2409</t>
        </is>
      </c>
      <c r="F215" s="37" t="inlineStr">
        <is>
          <t>Completed</t>
        </is>
      </c>
      <c r="G215" s="38" t="n">
        <v>20</v>
      </c>
      <c r="H215" s="37" t="inlineStr">
        <is>
          <t>Taylor Morgan</t>
        </is>
      </c>
    </row>
    <row r="216">
      <c r="A216" s="33" t="n">
        <v>46213.47569444445</v>
      </c>
      <c r="B216" s="34" t="inlineStr">
        <is>
          <t>Product Launch</t>
        </is>
      </c>
      <c r="C216" s="34" t="inlineStr">
        <is>
          <t>SMS</t>
        </is>
      </c>
      <c r="D216" s="34" t="inlineStr">
        <is>
          <t>client@example.com</t>
        </is>
      </c>
      <c r="E216" s="34" t="inlineStr">
        <is>
          <t>client@example.com</t>
        </is>
      </c>
      <c r="F216" s="34" t="inlineStr">
        <is>
          <t>Completed</t>
        </is>
      </c>
      <c r="G216" s="35" t="n">
        <v>15</v>
      </c>
      <c r="H216" s="34" t="inlineStr">
        <is>
          <t>Alexandra Rose</t>
        </is>
      </c>
    </row>
    <row r="217">
      <c r="A217" s="36" t="n">
        <v>46288.67847222222</v>
      </c>
      <c r="B217" s="37" t="inlineStr">
        <is>
          <t>Renewal Reminder</t>
        </is>
      </c>
      <c r="C217" s="37" t="inlineStr">
        <is>
          <t>SMS</t>
        </is>
      </c>
      <c r="D217" s="37" t="inlineStr">
        <is>
          <t>+1 555 7642</t>
        </is>
      </c>
      <c r="E217" s="37" t="inlineStr">
        <is>
          <t>+1 555 3492</t>
        </is>
      </c>
      <c r="F217" s="37" t="inlineStr">
        <is>
          <t>Pending</t>
        </is>
      </c>
      <c r="G217" s="38" t="n">
        <v>27</v>
      </c>
      <c r="H217" s="37" t="inlineStr">
        <is>
          <t>Riley Chen</t>
        </is>
      </c>
    </row>
    <row r="218">
      <c r="A218" s="33" t="n">
        <v>46202.72638888889</v>
      </c>
      <c r="B218" s="34" t="inlineStr">
        <is>
          <t>Product Launch</t>
        </is>
      </c>
      <c r="C218" s="34" t="inlineStr">
        <is>
          <t>SMS</t>
        </is>
      </c>
      <c r="D218" s="34" t="inlineStr">
        <is>
          <t>+1 555 7642</t>
        </is>
      </c>
      <c r="E218" s="34" t="inlineStr">
        <is>
          <t>+1 555 2409</t>
        </is>
      </c>
      <c r="F218" s="34" t="inlineStr">
        <is>
          <t>Completed</t>
        </is>
      </c>
      <c r="G218" s="35" t="n">
        <v>5</v>
      </c>
      <c r="H218" s="34" t="inlineStr">
        <is>
          <t>Taylor Morgan</t>
        </is>
      </c>
    </row>
    <row r="219">
      <c r="A219" s="36" t="n">
        <v>46164.40416666667</v>
      </c>
      <c r="B219" s="37" t="inlineStr">
        <is>
          <t>Renewal Reminder</t>
        </is>
      </c>
      <c r="C219" s="37" t="inlineStr">
        <is>
          <t>Call</t>
        </is>
      </c>
      <c r="D219" s="37" t="inlineStr">
        <is>
          <t>alex@example.com</t>
        </is>
      </c>
      <c r="E219" s="37" t="inlineStr">
        <is>
          <t>+1 555 5630</t>
        </is>
      </c>
      <c r="F219" s="37" t="inlineStr">
        <is>
          <t>Completed</t>
        </is>
      </c>
      <c r="G219" s="38" t="n">
        <v>35</v>
      </c>
      <c r="H219" s="37" t="inlineStr">
        <is>
          <t>Alexandra Rose</t>
        </is>
      </c>
    </row>
    <row r="220">
      <c r="A220" s="33" t="n">
        <v>46223.47708333333</v>
      </c>
      <c r="B220" s="34" t="inlineStr">
        <is>
          <t>Win-back Campaign</t>
        </is>
      </c>
      <c r="C220" s="34" t="inlineStr">
        <is>
          <t>Email</t>
        </is>
      </c>
      <c r="D220" s="34" t="inlineStr">
        <is>
          <t>client@example.com</t>
        </is>
      </c>
      <c r="E220" s="34" t="inlineStr">
        <is>
          <t>+1 555 3492</t>
        </is>
      </c>
      <c r="F220" s="34" t="inlineStr">
        <is>
          <t>Completed</t>
        </is>
      </c>
      <c r="G220" s="35" t="n">
        <v>10</v>
      </c>
      <c r="H220" s="34" t="inlineStr">
        <is>
          <t>Jordan Lee</t>
        </is>
      </c>
    </row>
    <row r="221">
      <c r="A221" s="36" t="n">
        <v>46035.52083333334</v>
      </c>
      <c r="B221" s="37" t="inlineStr">
        <is>
          <t>Welcome Series</t>
        </is>
      </c>
      <c r="C221" s="37" t="inlineStr">
        <is>
          <t>Email</t>
        </is>
      </c>
      <c r="D221" s="37" t="inlineStr">
        <is>
          <t>+1 555 0531</t>
        </is>
      </c>
      <c r="E221" s="37" t="inlineStr">
        <is>
          <t>+1 555 5630</t>
        </is>
      </c>
      <c r="F221" s="37" t="inlineStr">
        <is>
          <t>Completed</t>
        </is>
      </c>
      <c r="G221" s="38" t="n">
        <v>36</v>
      </c>
      <c r="H221" s="37" t="inlineStr">
        <is>
          <t>Alexandra Rose</t>
        </is>
      </c>
    </row>
    <row r="222">
      <c r="A222" s="33" t="n">
        <v>46193.75416666667</v>
      </c>
      <c r="B222" s="34" t="inlineStr">
        <is>
          <t>Product Launch</t>
        </is>
      </c>
      <c r="C222" s="34" t="inlineStr">
        <is>
          <t>Call</t>
        </is>
      </c>
      <c r="D222" s="34" t="inlineStr">
        <is>
          <t>+1 555 1359</t>
        </is>
      </c>
      <c r="E222" s="34" t="inlineStr">
        <is>
          <t>+1 555 2409</t>
        </is>
      </c>
      <c r="F222" s="34" t="inlineStr">
        <is>
          <t>Completed</t>
        </is>
      </c>
      <c r="G222" s="35" t="n">
        <v>26</v>
      </c>
      <c r="H222" s="34" t="inlineStr">
        <is>
          <t>Riley Chen</t>
        </is>
      </c>
    </row>
    <row r="223">
      <c r="A223" s="36" t="n">
        <v>46034.50486111111</v>
      </c>
      <c r="B223" s="37" t="inlineStr">
        <is>
          <t>Welcome Series</t>
        </is>
      </c>
      <c r="C223" s="37" t="inlineStr">
        <is>
          <t>SMS</t>
        </is>
      </c>
      <c r="D223" s="37" t="inlineStr">
        <is>
          <t>+1 555 0531</t>
        </is>
      </c>
      <c r="E223" s="37" t="inlineStr">
        <is>
          <t>+1 555 3492</t>
        </is>
      </c>
      <c r="F223" s="37" t="inlineStr">
        <is>
          <t>Pending</t>
        </is>
      </c>
      <c r="G223" s="38" t="n">
        <v>101</v>
      </c>
      <c r="H223" s="37" t="inlineStr">
        <is>
          <t>Riley Chen</t>
        </is>
      </c>
    </row>
    <row r="224">
      <c r="A224" s="33" t="n">
        <v>46312.46944444445</v>
      </c>
      <c r="B224" s="34" t="inlineStr">
        <is>
          <t>Product Launch</t>
        </is>
      </c>
      <c r="C224" s="34" t="inlineStr">
        <is>
          <t>Call</t>
        </is>
      </c>
      <c r="D224" s="34" t="inlineStr">
        <is>
          <t>client@example.com</t>
        </is>
      </c>
      <c r="E224" s="34" t="inlineStr">
        <is>
          <t>client@example.com</t>
        </is>
      </c>
      <c r="F224" s="34" t="inlineStr">
        <is>
          <t>Completed</t>
        </is>
      </c>
      <c r="G224" s="35" t="n">
        <v>39</v>
      </c>
      <c r="H224" s="34" t="inlineStr">
        <is>
          <t>Taylor Morgan</t>
        </is>
      </c>
    </row>
    <row r="225">
      <c r="A225" s="36" t="n">
        <v>46043.63611111111</v>
      </c>
      <c r="B225" s="37" t="inlineStr">
        <is>
          <t>Win-back Campaign</t>
        </is>
      </c>
      <c r="C225" s="37" t="inlineStr">
        <is>
          <t>SMS</t>
        </is>
      </c>
      <c r="D225" s="37" t="inlineStr">
        <is>
          <t>+1 555 7642</t>
        </is>
      </c>
      <c r="E225" s="37" t="inlineStr">
        <is>
          <t>+1 555 5630</t>
        </is>
      </c>
      <c r="F225" s="37" t="inlineStr">
        <is>
          <t>Completed</t>
        </is>
      </c>
      <c r="G225" s="38" t="n">
        <v>39</v>
      </c>
      <c r="H225" s="37" t="inlineStr">
        <is>
          <t>Jordan Lee</t>
        </is>
      </c>
    </row>
    <row r="226">
      <c r="A226" s="33" t="n">
        <v>46086.77291666667</v>
      </c>
      <c r="B226" s="34" t="inlineStr">
        <is>
          <t>Customer Survey</t>
        </is>
      </c>
      <c r="C226" s="34" t="inlineStr">
        <is>
          <t>SMS</t>
        </is>
      </c>
      <c r="D226" s="34" t="inlineStr">
        <is>
          <t>+1 555 2310</t>
        </is>
      </c>
      <c r="E226" s="34" t="inlineStr">
        <is>
          <t>+1 555 2409</t>
        </is>
      </c>
      <c r="F226" s="34" t="inlineStr">
        <is>
          <t>Completed</t>
        </is>
      </c>
      <c r="G226" s="35" t="n">
        <v>32</v>
      </c>
      <c r="H226" s="34" t="inlineStr">
        <is>
          <t>Taylor Morgan</t>
        </is>
      </c>
    </row>
    <row r="227">
      <c r="A227" s="36" t="n">
        <v>46292.52430555555</v>
      </c>
      <c r="B227" s="37" t="inlineStr">
        <is>
          <t>Newsletter</t>
        </is>
      </c>
      <c r="C227" s="37" t="inlineStr">
        <is>
          <t>SMS</t>
        </is>
      </c>
      <c r="D227" s="37" t="inlineStr">
        <is>
          <t>+1 555 7642</t>
        </is>
      </c>
      <c r="E227" s="37" t="inlineStr">
        <is>
          <t>team@example.com</t>
        </is>
      </c>
      <c r="F227" s="37" t="inlineStr">
        <is>
          <t>Completed</t>
        </is>
      </c>
      <c r="G227" s="38" t="n">
        <v>22</v>
      </c>
      <c r="H227" s="37" t="inlineStr">
        <is>
          <t>Taylor Morgan</t>
        </is>
      </c>
    </row>
    <row r="228">
      <c r="A228" s="33" t="n">
        <v>46106.70763888889</v>
      </c>
      <c r="B228" s="34" t="inlineStr">
        <is>
          <t>Customer Survey</t>
        </is>
      </c>
      <c r="C228" s="34" t="inlineStr">
        <is>
          <t>SMS</t>
        </is>
      </c>
      <c r="D228" s="34" t="inlineStr">
        <is>
          <t>client@example.com</t>
        </is>
      </c>
      <c r="E228" s="34" t="inlineStr">
        <is>
          <t>+1 555 3492</t>
        </is>
      </c>
      <c r="F228" s="34" t="inlineStr">
        <is>
          <t>Pending</t>
        </is>
      </c>
      <c r="G228" s="35" t="n">
        <v>30</v>
      </c>
      <c r="H228" s="34" t="inlineStr">
        <is>
          <t>Alexandra Rose</t>
        </is>
      </c>
    </row>
    <row r="229">
      <c r="A229" s="36" t="n">
        <v>46227.45625</v>
      </c>
      <c r="B229" s="37" t="inlineStr">
        <is>
          <t>Product Launch</t>
        </is>
      </c>
      <c r="C229" s="37" t="inlineStr">
        <is>
          <t>Call</t>
        </is>
      </c>
      <c r="D229" s="37" t="inlineStr">
        <is>
          <t>+1 555 7642</t>
        </is>
      </c>
      <c r="E229" s="37" t="inlineStr">
        <is>
          <t>+1 555 3492</t>
        </is>
      </c>
      <c r="F229" s="37" t="inlineStr">
        <is>
          <t>Completed</t>
        </is>
      </c>
      <c r="G229" s="38" t="n">
        <v>17</v>
      </c>
      <c r="H229" s="37" t="inlineStr">
        <is>
          <t>Alexandra Rose</t>
        </is>
      </c>
    </row>
    <row r="230">
      <c r="A230" s="33" t="n">
        <v>46299.76944444444</v>
      </c>
      <c r="B230" s="34" t="inlineStr">
        <is>
          <t>Win-back Campaign</t>
        </is>
      </c>
      <c r="C230" s="34" t="inlineStr">
        <is>
          <t>Email</t>
        </is>
      </c>
      <c r="D230" s="34" t="inlineStr">
        <is>
          <t>+1 555 2310</t>
        </is>
      </c>
      <c r="E230" s="34" t="inlineStr">
        <is>
          <t>+1 555 5630</t>
        </is>
      </c>
      <c r="F230" s="34" t="inlineStr">
        <is>
          <t>Completed</t>
        </is>
      </c>
      <c r="G230" s="35" t="n">
        <v>26</v>
      </c>
      <c r="H230" s="34" t="inlineStr">
        <is>
          <t>Riley Chen</t>
        </is>
      </c>
    </row>
    <row r="231">
      <c r="A231" s="36" t="n">
        <v>46039.46041666667</v>
      </c>
      <c r="B231" s="37" t="inlineStr">
        <is>
          <t>Product Launch</t>
        </is>
      </c>
      <c r="C231" s="37" t="inlineStr">
        <is>
          <t>Email</t>
        </is>
      </c>
      <c r="D231" s="37" t="inlineStr">
        <is>
          <t>alex@example.com</t>
        </is>
      </c>
      <c r="E231" s="37" t="inlineStr">
        <is>
          <t>team@example.com</t>
        </is>
      </c>
      <c r="F231" s="37" t="inlineStr">
        <is>
          <t>Completed</t>
        </is>
      </c>
      <c r="G231" s="38" t="n">
        <v>6</v>
      </c>
      <c r="H231" s="37" t="inlineStr">
        <is>
          <t>Alexandra Rose</t>
        </is>
      </c>
    </row>
    <row r="232">
      <c r="A232" s="33" t="n">
        <v>46209.69513888889</v>
      </c>
      <c r="B232" s="34" t="inlineStr">
        <is>
          <t>Win-back Campaign</t>
        </is>
      </c>
      <c r="C232" s="34" t="inlineStr">
        <is>
          <t>SMS</t>
        </is>
      </c>
      <c r="D232" s="34" t="inlineStr">
        <is>
          <t>+1 555 2310</t>
        </is>
      </c>
      <c r="E232" s="34" t="inlineStr">
        <is>
          <t>client@example.com</t>
        </is>
      </c>
      <c r="F232" s="34" t="inlineStr">
        <is>
          <t>Completed</t>
        </is>
      </c>
      <c r="G232" s="35" t="n">
        <v>7</v>
      </c>
      <c r="H232" s="34" t="inlineStr">
        <is>
          <t>Casey Patel</t>
        </is>
      </c>
    </row>
    <row r="233">
      <c r="A233" s="36" t="n">
        <v>46151.73958333334</v>
      </c>
      <c r="B233" s="37" t="inlineStr">
        <is>
          <t>Win-back Campaign</t>
        </is>
      </c>
      <c r="C233" s="37" t="inlineStr">
        <is>
          <t>Email</t>
        </is>
      </c>
      <c r="D233" s="37" t="inlineStr">
        <is>
          <t>+1 555 2310</t>
        </is>
      </c>
      <c r="E233" s="37" t="inlineStr">
        <is>
          <t>client@example.com</t>
        </is>
      </c>
      <c r="F233" s="37" t="inlineStr">
        <is>
          <t>Completed</t>
        </is>
      </c>
      <c r="G233" s="38" t="n">
        <v>3</v>
      </c>
      <c r="H233" s="37" t="inlineStr">
        <is>
          <t>Taylor Morgan</t>
        </is>
      </c>
    </row>
    <row r="234">
      <c r="A234" s="33" t="n">
        <v>46108.66458333333</v>
      </c>
      <c r="B234" s="34" t="inlineStr">
        <is>
          <t>Newsletter</t>
        </is>
      </c>
      <c r="C234" s="34" t="inlineStr">
        <is>
          <t>Email</t>
        </is>
      </c>
      <c r="D234" s="34" t="inlineStr">
        <is>
          <t>alex@example.com</t>
        </is>
      </c>
      <c r="E234" s="34" t="inlineStr">
        <is>
          <t>client@example.com</t>
        </is>
      </c>
      <c r="F234" s="34" t="inlineStr">
        <is>
          <t>Completed</t>
        </is>
      </c>
      <c r="G234" s="35" t="n">
        <v>16</v>
      </c>
      <c r="H234" s="34" t="inlineStr">
        <is>
          <t>Riley Chen</t>
        </is>
      </c>
    </row>
    <row r="235">
      <c r="A235" s="36" t="n">
        <v>46149.65069444444</v>
      </c>
      <c r="B235" s="37" t="inlineStr">
        <is>
          <t>Newsletter</t>
        </is>
      </c>
      <c r="C235" s="37" t="inlineStr">
        <is>
          <t>SMS</t>
        </is>
      </c>
      <c r="D235" s="37" t="inlineStr">
        <is>
          <t>+1 555 2310</t>
        </is>
      </c>
      <c r="E235" s="37" t="inlineStr">
        <is>
          <t>client@example.com</t>
        </is>
      </c>
      <c r="F235" s="37" t="inlineStr">
        <is>
          <t>Completed</t>
        </is>
      </c>
      <c r="G235" s="38" t="n">
        <v>28</v>
      </c>
      <c r="H235" s="37" t="inlineStr">
        <is>
          <t>Casey Patel</t>
        </is>
      </c>
    </row>
    <row r="236">
      <c r="A236" s="33" t="n">
        <v>46299.64791666667</v>
      </c>
      <c r="B236" s="34" t="inlineStr">
        <is>
          <t>Product Launch</t>
        </is>
      </c>
      <c r="C236" s="34" t="inlineStr">
        <is>
          <t>Call</t>
        </is>
      </c>
      <c r="D236" s="34" t="inlineStr">
        <is>
          <t>alex@example.com</t>
        </is>
      </c>
      <c r="E236" s="34" t="inlineStr">
        <is>
          <t>+1 555 2409</t>
        </is>
      </c>
      <c r="F236" s="34" t="inlineStr">
        <is>
          <t>Pending</t>
        </is>
      </c>
      <c r="G236" s="35" t="n">
        <v>97</v>
      </c>
      <c r="H236" s="34" t="inlineStr">
        <is>
          <t>Riley Chen</t>
        </is>
      </c>
    </row>
    <row r="237">
      <c r="A237" s="36" t="n">
        <v>46302.68611111111</v>
      </c>
      <c r="B237" s="37" t="inlineStr">
        <is>
          <t>Newsletter</t>
        </is>
      </c>
      <c r="C237" s="37" t="inlineStr">
        <is>
          <t>Call</t>
        </is>
      </c>
      <c r="D237" s="37" t="inlineStr">
        <is>
          <t>alex@example.com</t>
        </is>
      </c>
      <c r="E237" s="37" t="inlineStr">
        <is>
          <t>+1 555 3492</t>
        </is>
      </c>
      <c r="F237" s="37" t="inlineStr">
        <is>
          <t>Failed</t>
        </is>
      </c>
      <c r="G237" s="38" t="n"/>
      <c r="H237" s="37" t="inlineStr">
        <is>
          <t>Alexandra Rose</t>
        </is>
      </c>
    </row>
    <row r="238">
      <c r="A238" s="33" t="n">
        <v>46106.75694444445</v>
      </c>
      <c r="B238" s="34" t="inlineStr">
        <is>
          <t>Product Launch</t>
        </is>
      </c>
      <c r="C238" s="34" t="inlineStr">
        <is>
          <t>Email</t>
        </is>
      </c>
      <c r="D238" s="34" t="inlineStr">
        <is>
          <t>client@example.com</t>
        </is>
      </c>
      <c r="E238" s="34" t="inlineStr">
        <is>
          <t>+1 555 2409</t>
        </is>
      </c>
      <c r="F238" s="34" t="inlineStr">
        <is>
          <t>Completed</t>
        </is>
      </c>
      <c r="G238" s="35" t="n">
        <v>35</v>
      </c>
      <c r="H238" s="34" t="inlineStr">
        <is>
          <t>Riley Chen</t>
        </is>
      </c>
    </row>
    <row r="239">
      <c r="A239" s="36" t="n">
        <v>46065.35763888889</v>
      </c>
      <c r="B239" s="37" t="inlineStr">
        <is>
          <t>Renewal Reminder</t>
        </is>
      </c>
      <c r="C239" s="37" t="inlineStr">
        <is>
          <t>Email</t>
        </is>
      </c>
      <c r="D239" s="37" t="inlineStr">
        <is>
          <t>client@example.com</t>
        </is>
      </c>
      <c r="E239" s="37" t="inlineStr">
        <is>
          <t>+1 555 3492</t>
        </is>
      </c>
      <c r="F239" s="37" t="inlineStr">
        <is>
          <t>Completed</t>
        </is>
      </c>
      <c r="G239" s="38" t="n">
        <v>36</v>
      </c>
      <c r="H239" s="37" t="inlineStr">
        <is>
          <t>Riley Chen</t>
        </is>
      </c>
    </row>
    <row r="240">
      <c r="A240" s="33" t="n">
        <v>46249.56041666667</v>
      </c>
      <c r="B240" s="34" t="inlineStr">
        <is>
          <t>Newsletter</t>
        </is>
      </c>
      <c r="C240" s="34" t="inlineStr">
        <is>
          <t>Email</t>
        </is>
      </c>
      <c r="D240" s="34" t="inlineStr">
        <is>
          <t>+1 555 2310</t>
        </is>
      </c>
      <c r="E240" s="34" t="inlineStr">
        <is>
          <t>client@example.com</t>
        </is>
      </c>
      <c r="F240" s="34" t="inlineStr">
        <is>
          <t>Completed</t>
        </is>
      </c>
      <c r="G240" s="35" t="n">
        <v>24</v>
      </c>
      <c r="H240" s="34" t="inlineStr">
        <is>
          <t>Alexandra Rose</t>
        </is>
      </c>
    </row>
    <row r="241">
      <c r="A241" s="36" t="n">
        <v>46183.60416666666</v>
      </c>
      <c r="B241" s="37" t="inlineStr">
        <is>
          <t>Newsletter</t>
        </is>
      </c>
      <c r="C241" s="37" t="inlineStr">
        <is>
          <t>SMS</t>
        </is>
      </c>
      <c r="D241" s="37" t="inlineStr">
        <is>
          <t>client@example.com</t>
        </is>
      </c>
      <c r="E241" s="37" t="inlineStr">
        <is>
          <t>+1 555 5630</t>
        </is>
      </c>
      <c r="F241" s="37" t="inlineStr">
        <is>
          <t>Completed</t>
        </is>
      </c>
      <c r="G241" s="38" t="n">
        <v>35</v>
      </c>
      <c r="H241" s="37" t="inlineStr">
        <is>
          <t>Jordan Lee</t>
        </is>
      </c>
    </row>
    <row r="242">
      <c r="A242" s="33" t="n">
        <v>46251.55416666667</v>
      </c>
      <c r="B242" s="34" t="inlineStr">
        <is>
          <t>Win-back Campaign</t>
        </is>
      </c>
      <c r="C242" s="34" t="inlineStr">
        <is>
          <t>SMS</t>
        </is>
      </c>
      <c r="D242" s="34" t="inlineStr">
        <is>
          <t>+1 555 2310</t>
        </is>
      </c>
      <c r="E242" s="34" t="inlineStr">
        <is>
          <t>client@example.com</t>
        </is>
      </c>
      <c r="F242" s="34" t="inlineStr">
        <is>
          <t>Failed</t>
        </is>
      </c>
      <c r="G242" s="35" t="n"/>
      <c r="H242" s="34" t="inlineStr">
        <is>
          <t>Riley Chen</t>
        </is>
      </c>
    </row>
    <row r="243">
      <c r="A243" s="36" t="n">
        <v>46063.52569444444</v>
      </c>
      <c r="B243" s="37" t="inlineStr">
        <is>
          <t>Renewal Reminder</t>
        </is>
      </c>
      <c r="C243" s="37" t="inlineStr">
        <is>
          <t>SMS</t>
        </is>
      </c>
      <c r="D243" s="37" t="inlineStr">
        <is>
          <t>client@example.com</t>
        </is>
      </c>
      <c r="E243" s="37" t="inlineStr">
        <is>
          <t>team@example.com</t>
        </is>
      </c>
      <c r="F243" s="37" t="inlineStr">
        <is>
          <t>Completed</t>
        </is>
      </c>
      <c r="G243" s="38" t="n">
        <v>19</v>
      </c>
      <c r="H243" s="37" t="inlineStr">
        <is>
          <t>Riley Chen</t>
        </is>
      </c>
    </row>
    <row r="244">
      <c r="A244" s="33" t="n">
        <v>46123.41041666667</v>
      </c>
      <c r="B244" s="34" t="inlineStr">
        <is>
          <t>Win-back Campaign</t>
        </is>
      </c>
      <c r="C244" s="34" t="inlineStr">
        <is>
          <t>Call</t>
        </is>
      </c>
      <c r="D244" s="34" t="inlineStr">
        <is>
          <t>alex@example.com</t>
        </is>
      </c>
      <c r="E244" s="34" t="inlineStr">
        <is>
          <t>+1 555 2409</t>
        </is>
      </c>
      <c r="F244" s="34" t="inlineStr">
        <is>
          <t>Completed</t>
        </is>
      </c>
      <c r="G244" s="35" t="n">
        <v>44</v>
      </c>
      <c r="H244" s="34" t="inlineStr">
        <is>
          <t>Casey Patel</t>
        </is>
      </c>
    </row>
    <row r="245">
      <c r="A245" s="36" t="n">
        <v>46138.38888888889</v>
      </c>
      <c r="B245" s="37" t="inlineStr">
        <is>
          <t>Product Launch</t>
        </is>
      </c>
      <c r="C245" s="37" t="inlineStr">
        <is>
          <t>Email</t>
        </is>
      </c>
      <c r="D245" s="37" t="inlineStr">
        <is>
          <t>+1 555 1359</t>
        </is>
      </c>
      <c r="E245" s="37" t="inlineStr">
        <is>
          <t>+1 555 2409</t>
        </is>
      </c>
      <c r="F245" s="37" t="inlineStr">
        <is>
          <t>Completed</t>
        </is>
      </c>
      <c r="G245" s="38" t="n">
        <v>33</v>
      </c>
      <c r="H245" s="37" t="inlineStr">
        <is>
          <t>Alexandra Rose</t>
        </is>
      </c>
    </row>
    <row r="246">
      <c r="A246" s="33" t="n">
        <v>46199.75347222222</v>
      </c>
      <c r="B246" s="34" t="inlineStr">
        <is>
          <t>Product Launch</t>
        </is>
      </c>
      <c r="C246" s="34" t="inlineStr">
        <is>
          <t>SMS</t>
        </is>
      </c>
      <c r="D246" s="34" t="inlineStr">
        <is>
          <t>+1 555 7642</t>
        </is>
      </c>
      <c r="E246" s="34" t="inlineStr">
        <is>
          <t>client@example.com</t>
        </is>
      </c>
      <c r="F246" s="34" t="inlineStr">
        <is>
          <t>Completed</t>
        </is>
      </c>
      <c r="G246" s="35" t="n">
        <v>13</v>
      </c>
      <c r="H246" s="34" t="inlineStr">
        <is>
          <t>Alexandra Rose</t>
        </is>
      </c>
    </row>
    <row r="247">
      <c r="A247" s="36" t="n">
        <v>46232.44375</v>
      </c>
      <c r="B247" s="37" t="inlineStr">
        <is>
          <t>Newsletter</t>
        </is>
      </c>
      <c r="C247" s="37" t="inlineStr">
        <is>
          <t>Email</t>
        </is>
      </c>
      <c r="D247" s="37" t="inlineStr">
        <is>
          <t>+1 555 0531</t>
        </is>
      </c>
      <c r="E247" s="37" t="inlineStr">
        <is>
          <t>+1 555 2409</t>
        </is>
      </c>
      <c r="F247" s="37" t="inlineStr">
        <is>
          <t>Completed</t>
        </is>
      </c>
      <c r="G247" s="38" t="n">
        <v>18</v>
      </c>
      <c r="H247" s="37" t="inlineStr">
        <is>
          <t>Alexandra Rose</t>
        </is>
      </c>
    </row>
    <row r="248">
      <c r="A248" s="33" t="n">
        <v>46066.63472222222</v>
      </c>
      <c r="B248" s="34" t="inlineStr">
        <is>
          <t>Customer Survey</t>
        </is>
      </c>
      <c r="C248" s="34" t="inlineStr">
        <is>
          <t>Email</t>
        </is>
      </c>
      <c r="D248" s="34" t="inlineStr">
        <is>
          <t>alex@example.com</t>
        </is>
      </c>
      <c r="E248" s="34" t="inlineStr">
        <is>
          <t>team@example.com</t>
        </is>
      </c>
      <c r="F248" s="34" t="inlineStr">
        <is>
          <t>Completed</t>
        </is>
      </c>
      <c r="G248" s="35" t="n">
        <v>43</v>
      </c>
      <c r="H248" s="34" t="inlineStr">
        <is>
          <t>Casey Patel</t>
        </is>
      </c>
    </row>
    <row r="249">
      <c r="A249" s="36" t="n">
        <v>46030.56388888889</v>
      </c>
      <c r="B249" s="37" t="inlineStr">
        <is>
          <t>Renewal Reminder</t>
        </is>
      </c>
      <c r="C249" s="37" t="inlineStr">
        <is>
          <t>Email</t>
        </is>
      </c>
      <c r="D249" s="37" t="inlineStr">
        <is>
          <t>+1 555 1359</t>
        </is>
      </c>
      <c r="E249" s="37" t="inlineStr">
        <is>
          <t>+1 555 2409</t>
        </is>
      </c>
      <c r="F249" s="37" t="inlineStr">
        <is>
          <t>Failed</t>
        </is>
      </c>
      <c r="G249" s="38" t="n"/>
      <c r="H249" s="37" t="inlineStr">
        <is>
          <t>Riley Chen</t>
        </is>
      </c>
    </row>
    <row r="250">
      <c r="A250" s="33" t="n">
        <v>46214.55</v>
      </c>
      <c r="B250" s="34" t="inlineStr">
        <is>
          <t>Customer Survey</t>
        </is>
      </c>
      <c r="C250" s="34" t="inlineStr">
        <is>
          <t>SMS</t>
        </is>
      </c>
      <c r="D250" s="34" t="inlineStr">
        <is>
          <t>+1 555 1359</t>
        </is>
      </c>
      <c r="E250" s="34" t="inlineStr">
        <is>
          <t>+1 555 5630</t>
        </is>
      </c>
      <c r="F250" s="34" t="inlineStr">
        <is>
          <t>Pending</t>
        </is>
      </c>
      <c r="G250" s="35" t="n">
        <v>54</v>
      </c>
      <c r="H250" s="34" t="inlineStr">
        <is>
          <t>Riley Chen</t>
        </is>
      </c>
    </row>
    <row r="251">
      <c r="A251" s="36" t="n">
        <v>46203.40833333333</v>
      </c>
      <c r="B251" s="37" t="inlineStr">
        <is>
          <t>Newsletter</t>
        </is>
      </c>
      <c r="C251" s="37" t="inlineStr">
        <is>
          <t>Email</t>
        </is>
      </c>
      <c r="D251" s="37" t="inlineStr">
        <is>
          <t>+1 555 2310</t>
        </is>
      </c>
      <c r="E251" s="37" t="inlineStr">
        <is>
          <t>+1 555 3492</t>
        </is>
      </c>
      <c r="F251" s="37" t="inlineStr">
        <is>
          <t>Completed</t>
        </is>
      </c>
      <c r="G251" s="38" t="n">
        <v>39</v>
      </c>
      <c r="H251" s="37" t="inlineStr">
        <is>
          <t>Casey Patel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39" t="inlineStr">
        <is>
          <t>Month</t>
        </is>
      </c>
      <c r="B1" s="39" t="inlineStr">
        <is>
          <t>Calls</t>
        </is>
      </c>
      <c r="C1" s="39" t="inlineStr">
        <is>
          <t>SMS</t>
        </is>
      </c>
      <c r="D1" s="39" t="inlineStr">
        <is>
          <t>Emails</t>
        </is>
      </c>
      <c r="E1" s="39" t="inlineStr">
        <is>
          <t>Completed</t>
        </is>
      </c>
      <c r="F1" s="39" t="inlineStr">
        <is>
          <t>Pending</t>
        </is>
      </c>
      <c r="G1" s="39" t="inlineStr">
        <is>
          <t>Failed</t>
        </is>
      </c>
      <c r="I1" s="39" t="inlineStr">
        <is>
          <t>Channel</t>
        </is>
      </c>
      <c r="J1" s="39" t="inlineStr">
        <is>
          <t>Interactions</t>
        </is>
      </c>
    </row>
    <row r="2">
      <c r="A2" s="40" t="n">
        <v>46023</v>
      </c>
      <c r="B2">
        <f>COUNTIFS('Raw Data'!$A$2:$A$251,"&gt;="&amp;A2,'Raw Data'!$A$2:$A$251,"&lt;"&amp;EDATE(A2,1),'Raw Data'!$C$2:$C$251,B$14)</f>
        <v/>
      </c>
      <c r="C2">
        <f>COUNTIFS('Raw Data'!$A$2:$A$251,"&gt;="&amp;A2,'Raw Data'!$A$2:$A$251,"&lt;"&amp;EDATE(A2,1),'Raw Data'!$C$2:$C$251,C$14)</f>
        <v/>
      </c>
      <c r="D2">
        <f>COUNTIFS('Raw Data'!$A$2:$A$251,"&gt;="&amp;A2,'Raw Data'!$A$2:$A$251,"&lt;"&amp;EDATE(A2,1),'Raw Data'!$C$2:$C$251,D$14)</f>
        <v/>
      </c>
      <c r="E2">
        <f>COUNTIFS('Raw Data'!$A$2:$A$251,"&gt;="&amp;A2,'Raw Data'!$A$2:$A$251,"&lt;"&amp;EDATE(A2,1),'Raw Data'!$F$2:$F$251,"Completed")</f>
        <v/>
      </c>
      <c r="F2">
        <f>COUNTIFS('Raw Data'!$A$2:$A$251,"&gt;="&amp;A2,'Raw Data'!$A$2:$A$251,"&lt;"&amp;EDATE(A2,1),'Raw Data'!$F$2:$F$251,"Pending")</f>
        <v/>
      </c>
      <c r="G2">
        <f>COUNTIFS('Raw Data'!$A$2:$A$251,"&gt;="&amp;A2,'Raw Data'!$A$2:$A$251,"&lt;"&amp;EDATE(A2,1),'Raw Data'!$F$2:$F$251,"Failed")</f>
        <v/>
      </c>
      <c r="I2" t="inlineStr">
        <is>
          <t>Call</t>
        </is>
      </c>
      <c r="J2">
        <f>COUNTIF('Raw Data'!$C$2:$C$251,I2)</f>
        <v/>
      </c>
    </row>
    <row r="3">
      <c r="A3" s="40" t="n">
        <v>46054</v>
      </c>
      <c r="B3">
        <f>COUNTIFS('Raw Data'!$A$2:$A$251,"&gt;="&amp;A3,'Raw Data'!$A$2:$A$251,"&lt;"&amp;EDATE(A3,1),'Raw Data'!$C$2:$C$251,B$14)</f>
        <v/>
      </c>
      <c r="C3">
        <f>COUNTIFS('Raw Data'!$A$2:$A$251,"&gt;="&amp;A3,'Raw Data'!$A$2:$A$251,"&lt;"&amp;EDATE(A3,1),'Raw Data'!$C$2:$C$251,C$14)</f>
        <v/>
      </c>
      <c r="D3">
        <f>COUNTIFS('Raw Data'!$A$2:$A$251,"&gt;="&amp;A3,'Raw Data'!$A$2:$A$251,"&lt;"&amp;EDATE(A3,1),'Raw Data'!$C$2:$C$251,D$14)</f>
        <v/>
      </c>
      <c r="E3">
        <f>COUNTIFS('Raw Data'!$A$2:$A$251,"&gt;="&amp;A3,'Raw Data'!$A$2:$A$251,"&lt;"&amp;EDATE(A3,1),'Raw Data'!$F$2:$F$251,"Completed")</f>
        <v/>
      </c>
      <c r="F3">
        <f>COUNTIFS('Raw Data'!$A$2:$A$251,"&gt;="&amp;A3,'Raw Data'!$A$2:$A$251,"&lt;"&amp;EDATE(A3,1),'Raw Data'!$F$2:$F$251,"Pending")</f>
        <v/>
      </c>
      <c r="G3">
        <f>COUNTIFS('Raw Data'!$A$2:$A$251,"&gt;="&amp;A3,'Raw Data'!$A$2:$A$251,"&lt;"&amp;EDATE(A3,1),'Raw Data'!$F$2:$F$251,"Failed")</f>
        <v/>
      </c>
      <c r="I3" t="inlineStr">
        <is>
          <t>SMS</t>
        </is>
      </c>
      <c r="J3">
        <f>COUNTIF('Raw Data'!$C$2:$C$251,I3)</f>
        <v/>
      </c>
    </row>
    <row r="4">
      <c r="A4" s="40" t="n">
        <v>46082</v>
      </c>
      <c r="B4">
        <f>COUNTIFS('Raw Data'!$A$2:$A$251,"&gt;="&amp;A4,'Raw Data'!$A$2:$A$251,"&lt;"&amp;EDATE(A4,1),'Raw Data'!$C$2:$C$251,B$14)</f>
        <v/>
      </c>
      <c r="C4">
        <f>COUNTIFS('Raw Data'!$A$2:$A$251,"&gt;="&amp;A4,'Raw Data'!$A$2:$A$251,"&lt;"&amp;EDATE(A4,1),'Raw Data'!$C$2:$C$251,C$14)</f>
        <v/>
      </c>
      <c r="D4">
        <f>COUNTIFS('Raw Data'!$A$2:$A$251,"&gt;="&amp;A4,'Raw Data'!$A$2:$A$251,"&lt;"&amp;EDATE(A4,1),'Raw Data'!$C$2:$C$251,D$14)</f>
        <v/>
      </c>
      <c r="E4">
        <f>COUNTIFS('Raw Data'!$A$2:$A$251,"&gt;="&amp;A4,'Raw Data'!$A$2:$A$251,"&lt;"&amp;EDATE(A4,1),'Raw Data'!$F$2:$F$251,"Completed")</f>
        <v/>
      </c>
      <c r="F4">
        <f>COUNTIFS('Raw Data'!$A$2:$A$251,"&gt;="&amp;A4,'Raw Data'!$A$2:$A$251,"&lt;"&amp;EDATE(A4,1),'Raw Data'!$F$2:$F$251,"Pending")</f>
        <v/>
      </c>
      <c r="G4">
        <f>COUNTIFS('Raw Data'!$A$2:$A$251,"&gt;="&amp;A4,'Raw Data'!$A$2:$A$251,"&lt;"&amp;EDATE(A4,1),'Raw Data'!$F$2:$F$251,"Failed")</f>
        <v/>
      </c>
      <c r="I4" t="inlineStr">
        <is>
          <t>Email</t>
        </is>
      </c>
      <c r="J4">
        <f>COUNTIF('Raw Data'!$C$2:$C$251,I4)</f>
        <v/>
      </c>
    </row>
    <row r="5">
      <c r="A5" s="40" t="n">
        <v>46113</v>
      </c>
      <c r="B5">
        <f>COUNTIFS('Raw Data'!$A$2:$A$251,"&gt;="&amp;A5,'Raw Data'!$A$2:$A$251,"&lt;"&amp;EDATE(A5,1),'Raw Data'!$C$2:$C$251,B$14)</f>
        <v/>
      </c>
      <c r="C5">
        <f>COUNTIFS('Raw Data'!$A$2:$A$251,"&gt;="&amp;A5,'Raw Data'!$A$2:$A$251,"&lt;"&amp;EDATE(A5,1),'Raw Data'!$C$2:$C$251,C$14)</f>
        <v/>
      </c>
      <c r="D5">
        <f>COUNTIFS('Raw Data'!$A$2:$A$251,"&gt;="&amp;A5,'Raw Data'!$A$2:$A$251,"&lt;"&amp;EDATE(A5,1),'Raw Data'!$C$2:$C$251,D$14)</f>
        <v/>
      </c>
      <c r="E5">
        <f>COUNTIFS('Raw Data'!$A$2:$A$251,"&gt;="&amp;A5,'Raw Data'!$A$2:$A$251,"&lt;"&amp;EDATE(A5,1),'Raw Data'!$F$2:$F$251,"Completed")</f>
        <v/>
      </c>
      <c r="F5">
        <f>COUNTIFS('Raw Data'!$A$2:$A$251,"&gt;="&amp;A5,'Raw Data'!$A$2:$A$251,"&lt;"&amp;EDATE(A5,1),'Raw Data'!$F$2:$F$251,"Pending")</f>
        <v/>
      </c>
      <c r="G5">
        <f>COUNTIFS('Raw Data'!$A$2:$A$251,"&gt;="&amp;A5,'Raw Data'!$A$2:$A$251,"&lt;"&amp;EDATE(A5,1),'Raw Data'!$F$2:$F$251,"Failed")</f>
        <v/>
      </c>
    </row>
    <row r="6">
      <c r="A6" s="40" t="n">
        <v>46143</v>
      </c>
      <c r="B6">
        <f>COUNTIFS('Raw Data'!$A$2:$A$251,"&gt;="&amp;A6,'Raw Data'!$A$2:$A$251,"&lt;"&amp;EDATE(A6,1),'Raw Data'!$C$2:$C$251,B$14)</f>
        <v/>
      </c>
      <c r="C6">
        <f>COUNTIFS('Raw Data'!$A$2:$A$251,"&gt;="&amp;A6,'Raw Data'!$A$2:$A$251,"&lt;"&amp;EDATE(A6,1),'Raw Data'!$C$2:$C$251,C$14)</f>
        <v/>
      </c>
      <c r="D6">
        <f>COUNTIFS('Raw Data'!$A$2:$A$251,"&gt;="&amp;A6,'Raw Data'!$A$2:$A$251,"&lt;"&amp;EDATE(A6,1),'Raw Data'!$C$2:$C$251,D$14)</f>
        <v/>
      </c>
      <c r="E6">
        <f>COUNTIFS('Raw Data'!$A$2:$A$251,"&gt;="&amp;A6,'Raw Data'!$A$2:$A$251,"&lt;"&amp;EDATE(A6,1),'Raw Data'!$F$2:$F$251,"Completed")</f>
        <v/>
      </c>
      <c r="F6">
        <f>COUNTIFS('Raw Data'!$A$2:$A$251,"&gt;="&amp;A6,'Raw Data'!$A$2:$A$251,"&lt;"&amp;EDATE(A6,1),'Raw Data'!$F$2:$F$251,"Pending")</f>
        <v/>
      </c>
      <c r="G6">
        <f>COUNTIFS('Raw Data'!$A$2:$A$251,"&gt;="&amp;A6,'Raw Data'!$A$2:$A$251,"&lt;"&amp;EDATE(A6,1),'Raw Data'!$F$2:$F$251,"Failed")</f>
        <v/>
      </c>
    </row>
    <row r="7">
      <c r="A7" s="40" t="n">
        <v>46174</v>
      </c>
      <c r="B7">
        <f>COUNTIFS('Raw Data'!$A$2:$A$251,"&gt;="&amp;A7,'Raw Data'!$A$2:$A$251,"&lt;"&amp;EDATE(A7,1),'Raw Data'!$C$2:$C$251,B$14)</f>
        <v/>
      </c>
      <c r="C7">
        <f>COUNTIFS('Raw Data'!$A$2:$A$251,"&gt;="&amp;A7,'Raw Data'!$A$2:$A$251,"&lt;"&amp;EDATE(A7,1),'Raw Data'!$C$2:$C$251,C$14)</f>
        <v/>
      </c>
      <c r="D7">
        <f>COUNTIFS('Raw Data'!$A$2:$A$251,"&gt;="&amp;A7,'Raw Data'!$A$2:$A$251,"&lt;"&amp;EDATE(A7,1),'Raw Data'!$C$2:$C$251,D$14)</f>
        <v/>
      </c>
      <c r="E7">
        <f>COUNTIFS('Raw Data'!$A$2:$A$251,"&gt;="&amp;A7,'Raw Data'!$A$2:$A$251,"&lt;"&amp;EDATE(A7,1),'Raw Data'!$F$2:$F$251,"Completed")</f>
        <v/>
      </c>
      <c r="F7">
        <f>COUNTIFS('Raw Data'!$A$2:$A$251,"&gt;="&amp;A7,'Raw Data'!$A$2:$A$251,"&lt;"&amp;EDATE(A7,1),'Raw Data'!$F$2:$F$251,"Pending")</f>
        <v/>
      </c>
      <c r="G7">
        <f>COUNTIFS('Raw Data'!$A$2:$A$251,"&gt;="&amp;A7,'Raw Data'!$A$2:$A$251,"&lt;"&amp;EDATE(A7,1),'Raw Data'!$F$2:$F$251,"Failed")</f>
        <v/>
      </c>
    </row>
    <row r="8">
      <c r="A8" s="40" t="n">
        <v>46204</v>
      </c>
      <c r="B8">
        <f>COUNTIFS('Raw Data'!$A$2:$A$251,"&gt;="&amp;A8,'Raw Data'!$A$2:$A$251,"&lt;"&amp;EDATE(A8,1),'Raw Data'!$C$2:$C$251,B$14)</f>
        <v/>
      </c>
      <c r="C8">
        <f>COUNTIFS('Raw Data'!$A$2:$A$251,"&gt;="&amp;A8,'Raw Data'!$A$2:$A$251,"&lt;"&amp;EDATE(A8,1),'Raw Data'!$C$2:$C$251,C$14)</f>
        <v/>
      </c>
      <c r="D8">
        <f>COUNTIFS('Raw Data'!$A$2:$A$251,"&gt;="&amp;A8,'Raw Data'!$A$2:$A$251,"&lt;"&amp;EDATE(A8,1),'Raw Data'!$C$2:$C$251,D$14)</f>
        <v/>
      </c>
      <c r="E8">
        <f>COUNTIFS('Raw Data'!$A$2:$A$251,"&gt;="&amp;A8,'Raw Data'!$A$2:$A$251,"&lt;"&amp;EDATE(A8,1),'Raw Data'!$F$2:$F$251,"Completed")</f>
        <v/>
      </c>
      <c r="F8">
        <f>COUNTIFS('Raw Data'!$A$2:$A$251,"&gt;="&amp;A8,'Raw Data'!$A$2:$A$251,"&lt;"&amp;EDATE(A8,1),'Raw Data'!$F$2:$F$251,"Pending")</f>
        <v/>
      </c>
      <c r="G8">
        <f>COUNTIFS('Raw Data'!$A$2:$A$251,"&gt;="&amp;A8,'Raw Data'!$A$2:$A$251,"&lt;"&amp;EDATE(A8,1),'Raw Data'!$F$2:$F$251,"Failed")</f>
        <v/>
      </c>
    </row>
    <row r="9">
      <c r="A9" s="40" t="n">
        <v>46235</v>
      </c>
      <c r="B9">
        <f>COUNTIFS('Raw Data'!$A$2:$A$251,"&gt;="&amp;A9,'Raw Data'!$A$2:$A$251,"&lt;"&amp;EDATE(A9,1),'Raw Data'!$C$2:$C$251,B$14)</f>
        <v/>
      </c>
      <c r="C9">
        <f>COUNTIFS('Raw Data'!$A$2:$A$251,"&gt;="&amp;A9,'Raw Data'!$A$2:$A$251,"&lt;"&amp;EDATE(A9,1),'Raw Data'!$C$2:$C$251,C$14)</f>
        <v/>
      </c>
      <c r="D9">
        <f>COUNTIFS('Raw Data'!$A$2:$A$251,"&gt;="&amp;A9,'Raw Data'!$A$2:$A$251,"&lt;"&amp;EDATE(A9,1),'Raw Data'!$C$2:$C$251,D$14)</f>
        <v/>
      </c>
      <c r="E9">
        <f>COUNTIFS('Raw Data'!$A$2:$A$251,"&gt;="&amp;A9,'Raw Data'!$A$2:$A$251,"&lt;"&amp;EDATE(A9,1),'Raw Data'!$F$2:$F$251,"Completed")</f>
        <v/>
      </c>
      <c r="F9">
        <f>COUNTIFS('Raw Data'!$A$2:$A$251,"&gt;="&amp;A9,'Raw Data'!$A$2:$A$251,"&lt;"&amp;EDATE(A9,1),'Raw Data'!$F$2:$F$251,"Pending")</f>
        <v/>
      </c>
      <c r="G9">
        <f>COUNTIFS('Raw Data'!$A$2:$A$251,"&gt;="&amp;A9,'Raw Data'!$A$2:$A$251,"&lt;"&amp;EDATE(A9,1),'Raw Data'!$F$2:$F$251,"Failed")</f>
        <v/>
      </c>
    </row>
    <row r="10">
      <c r="A10" s="40" t="n">
        <v>46266</v>
      </c>
      <c r="B10">
        <f>COUNTIFS('Raw Data'!$A$2:$A$251,"&gt;="&amp;A10,'Raw Data'!$A$2:$A$251,"&lt;"&amp;EDATE(A10,1),'Raw Data'!$C$2:$C$251,B$14)</f>
        <v/>
      </c>
      <c r="C10">
        <f>COUNTIFS('Raw Data'!$A$2:$A$251,"&gt;="&amp;A10,'Raw Data'!$A$2:$A$251,"&lt;"&amp;EDATE(A10,1),'Raw Data'!$C$2:$C$251,C$14)</f>
        <v/>
      </c>
      <c r="D10">
        <f>COUNTIFS('Raw Data'!$A$2:$A$251,"&gt;="&amp;A10,'Raw Data'!$A$2:$A$251,"&lt;"&amp;EDATE(A10,1),'Raw Data'!$C$2:$C$251,D$14)</f>
        <v/>
      </c>
      <c r="E10">
        <f>COUNTIFS('Raw Data'!$A$2:$A$251,"&gt;="&amp;A10,'Raw Data'!$A$2:$A$251,"&lt;"&amp;EDATE(A10,1),'Raw Data'!$F$2:$F$251,"Completed")</f>
        <v/>
      </c>
      <c r="F10">
        <f>COUNTIFS('Raw Data'!$A$2:$A$251,"&gt;="&amp;A10,'Raw Data'!$A$2:$A$251,"&lt;"&amp;EDATE(A10,1),'Raw Data'!$F$2:$F$251,"Pending")</f>
        <v/>
      </c>
      <c r="G10">
        <f>COUNTIFS('Raw Data'!$A$2:$A$251,"&gt;="&amp;A10,'Raw Data'!$A$2:$A$251,"&lt;"&amp;EDATE(A10,1),'Raw Data'!$F$2:$F$251,"Failed")</f>
        <v/>
      </c>
    </row>
    <row r="11">
      <c r="A11" s="40" t="n">
        <v>46296</v>
      </c>
      <c r="B11">
        <f>COUNTIFS('Raw Data'!$A$2:$A$251,"&gt;="&amp;A11,'Raw Data'!$A$2:$A$251,"&lt;"&amp;EDATE(A11,1),'Raw Data'!$C$2:$C$251,B$14)</f>
        <v/>
      </c>
      <c r="C11">
        <f>COUNTIFS('Raw Data'!$A$2:$A$251,"&gt;="&amp;A11,'Raw Data'!$A$2:$A$251,"&lt;"&amp;EDATE(A11,1),'Raw Data'!$C$2:$C$251,C$14)</f>
        <v/>
      </c>
      <c r="D11">
        <f>COUNTIFS('Raw Data'!$A$2:$A$251,"&gt;="&amp;A11,'Raw Data'!$A$2:$A$251,"&lt;"&amp;EDATE(A11,1),'Raw Data'!$C$2:$C$251,D$14)</f>
        <v/>
      </c>
      <c r="E11">
        <f>COUNTIFS('Raw Data'!$A$2:$A$251,"&gt;="&amp;A11,'Raw Data'!$A$2:$A$251,"&lt;"&amp;EDATE(A11,1),'Raw Data'!$F$2:$F$251,"Completed")</f>
        <v/>
      </c>
      <c r="F11">
        <f>COUNTIFS('Raw Data'!$A$2:$A$251,"&gt;="&amp;A11,'Raw Data'!$A$2:$A$251,"&lt;"&amp;EDATE(A11,1),'Raw Data'!$F$2:$F$251,"Pending")</f>
        <v/>
      </c>
      <c r="G11">
        <f>COUNTIFS('Raw Data'!$A$2:$A$251,"&gt;="&amp;A11,'Raw Data'!$A$2:$A$251,"&lt;"&amp;EDATE(A11,1),'Raw Data'!$F$2:$F$251,"Failed")</f>
        <v/>
      </c>
    </row>
    <row r="14">
      <c r="A14" t="inlineStr">
        <is>
          <t>Channel</t>
        </is>
      </c>
      <c r="B14" t="inlineStr">
        <is>
          <t>Call</t>
        </is>
      </c>
      <c r="C14" t="inlineStr">
        <is>
          <t>SMS</t>
        </is>
      </c>
      <c r="D14" t="inlineStr">
        <is>
          <t>Email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41" t="inlineStr">
        <is>
          <t>CRM Dashboard — Quick Start</t>
        </is>
      </c>
    </row>
    <row r="3" ht="42" customHeight="1">
      <c r="A3" s="42" t="inlineStr">
        <is>
          <t>1. Explore</t>
        </is>
      </c>
      <c r="B3" s="43" t="inlineStr">
        <is>
          <t>Use the Period and Channel dropdowns on the Dashboard. KPI cards and the monthly chart are linked to the workbook data.</t>
        </is>
      </c>
    </row>
    <row r="4" ht="42" customHeight="1">
      <c r="A4" s="42" t="inlineStr">
        <is>
          <t>2. Sample data</t>
        </is>
      </c>
      <c r="B4" s="43" t="inlineStr">
        <is>
          <t>The Raw Data sheet contains 250 fictional CRM interactions for demonstration.</t>
        </is>
      </c>
    </row>
    <row r="5" ht="42" customHeight="1">
      <c r="A5" s="42" t="inlineStr">
        <is>
          <t>3. Replace data</t>
        </is>
      </c>
      <c r="B5" s="43" t="inlineStr">
        <is>
          <t>Keep the same column headings and replace the sample rows with your CRM records. Update formulas if you add more than 250 rows.</t>
        </is>
      </c>
    </row>
    <row r="6" ht="42" customHeight="1">
      <c r="A6" s="42" t="inlineStr">
        <is>
          <t>4. Excel compatibility</t>
        </is>
      </c>
      <c r="B6" s="43" t="inlineStr">
        <is>
          <t>Open in desktop Microsoft Excel for best chart and formula support. Some formula results may appear after Excel recalculates the workbook.</t>
        </is>
      </c>
    </row>
    <row r="7" ht="42" customHeight="1">
      <c r="A7" s="42" t="inlineStr">
        <is>
          <t>5. Extend</t>
        </is>
      </c>
      <c r="B7" s="43" t="inlineStr">
        <is>
          <t>You can add PivotTables and native slicers in Excel if you want pivot-driven filtering beyond the dropdowns included here.</t>
        </is>
      </c>
    </row>
  </sheetData>
  <mergeCells count="6">
    <mergeCell ref="B4:F4"/>
    <mergeCell ref="B7:F7"/>
    <mergeCell ref="B6:F6"/>
    <mergeCell ref="A1:F1"/>
    <mergeCell ref="B3:F3"/>
    <mergeCell ref="B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2026-10-17T13:41:28Z</dcterms:created>
  <dcterms:modified xmlns:dcterms="http://purl.org/dc/terms/" xmlns:xsi="http://www.w3.org/2001/XMLSchema-instance" xsi:type="dcterms:W3CDTF">2026-10-17T13:41:29Z</dcterms:modified>
</cp:coreProperties>
</file>